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e5fe0c26c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I_Risk_Register" sheetId="1" r:id="Rad76ff67eff84d1e"/>
    <x:sheet xmlns:r="http://schemas.openxmlformats.org/officeDocument/2006/relationships" name="02_Risk_Matrix" sheetId="2" r:id="R2c4d4c823e124d5c"/>
    <x:sheet xmlns:r="http://schemas.openxmlformats.org/officeDocument/2006/relationships" name="03_Risk_Library" sheetId="3" r:id="Re14575c2783b482e"/>
    <x:sheet xmlns:r="http://schemas.openxmlformats.org/officeDocument/2006/relationships" name="04_Guidance_Lists" sheetId="4" r:id="R987031ed8c49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4fa246ed7482e" /><Relationship Type="http://schemas.openxmlformats.org/officeDocument/2006/relationships/theme" Target="/xl/theme/theme1.xml" Id="Rb36713cb9d2b4e9b" /><Relationship Type="http://schemas.openxmlformats.org/officeDocument/2006/relationships/sharedStrings" Target="/xl/sharedStrings.xml" Id="R65e2a05e97334f5c" /><Relationship Type="http://schemas.openxmlformats.org/officeDocument/2006/relationships/worksheet" Target="/xl/worksheets/sheet1.xml" Id="Rad76ff67eff84d1e" /><Relationship Type="http://schemas.openxmlformats.org/officeDocument/2006/relationships/worksheet" Target="/xl/worksheets/sheet2.xml" Id="R2c4d4c823e124d5c" /><Relationship Type="http://schemas.openxmlformats.org/officeDocument/2006/relationships/worksheet" Target="/xl/worksheets/sheet3.xml" Id="Re14575c2783b482e" /><Relationship Type="http://schemas.openxmlformats.org/officeDocument/2006/relationships/worksheet" Target="/xl/worksheets/sheet4.xml" Id="R987031ed8c494d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55" hidden="0" customWidth="1"/>
    <x:col min="4" max="4" width="18" hidden="0" customWidth="1"/>
    <x:col min="5" max="5" width="17" hidden="0" customWidth="1"/>
    <x:col min="6" max="6" width="42" hidden="0" customWidth="1"/>
    <x:col min="7" max="7" width="23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53" hidden="0" customWidth="1"/>
    <x:col min="13" max="13" width="15" hidden="0" customWidth="1"/>
    <x:col min="14" max="14" width="15" hidden="0" customWidth="1"/>
    <x:col min="15" max="15" width="14" hidden="0" customWidth="1"/>
    <x:col min="16" max="16" width="16" hidden="0" customWidth="1"/>
    <x:col min="17" max="17" width="14" hidden="0" customWidth="1"/>
    <x:col min="18" max="18" width="60" hidden="0" customWidth="1"/>
    <x:col min="19" max="19" width="25" hidden="0" customWidth="1"/>
    <x:col min="20" max="20" width="18" hidden="0" customWidth="1"/>
    <x:col min="21" max="21" width="16" hidden="0" customWidth="1"/>
    <x:col min="22" max="22" width="18" hidden="0" customWidth="1"/>
    <x:col min="23" max="23" width="42" hidden="0" customWidth="1"/>
  </x:cols>
  <x:sheetData>
    <x:row r="1" ht="34" customHeight="1">
      <x:c r="A1" s="3" t="str">
        <x:v>ANIHG ENTERPRISE AI RISK REGISTER — SEPSISIQ V2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8" customHeight="1">
      <x:c r="A2" s="7" t="str">
        <x:v>ANIHG-AI-002 | ICU Sepsis Risk Intelligence &amp; Clinical AI Governance Prototype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>
      <x:c r="A4" t="str">
        <x:v>Register Status</x:v>
      </x:c>
      <x:c r="B4" t="str">
        <x:v>Active</x:v>
      </x:c>
      <x:c r="C4" t="str">
        <x:v>Model</x:v>
      </x:c>
      <x:c r="D4" t="str">
        <x:v>B03 — Frozen</x:v>
      </x:c>
      <x:c r="E4" t="str">
        <x:v>Lifecycle Stage</x:v>
      </x:c>
      <x:c r="F4" t="str">
        <x:v>Public Portfolio Demonstration</x:v>
      </x:c>
    </x:row>
    <x:row r="5">
      <x:c r="A5" t="str">
        <x:v>Governance Disposition</x:v>
      </x:c>
      <x:c r="B5" t="str">
        <x:v>Clinical Deployment NO-GO</x:v>
      </x:c>
      <x:c r="C5" t="str">
        <x:v>Production Clinical Use</x:v>
      </x:c>
      <x:c r="D5" t="str">
        <x:v>NOT AUTHORIZED</x:v>
      </x:c>
      <x:c r="E5" t="str">
        <x:v>Risk Method</x:v>
      </x:c>
      <x:c r="F5" t="str">
        <x:v>5×5 Likelihood × Impact</x:v>
      </x:c>
    </x:row>
    <x:row r="7" ht="42" customHeight="1">
      <x:c r="A7" s="11" t="str">
        <x:v>Risk ID</x:v>
      </x:c>
      <x:c r="B7" s="11" t="str">
        <x:v>Risk Category</x:v>
      </x:c>
      <x:c r="C7" s="11" t="str">
        <x:v>Risk Statement</x:v>
      </x:c>
      <x:c r="D7" s="11" t="str">
        <x:v>AI System / Use Case</x:v>
      </x:c>
      <x:c r="E7" s="11" t="str">
        <x:v>Lifecycle Stage</x:v>
      </x:c>
      <x:c r="F7" s="11" t="str">
        <x:v>Risk Source / Trigger</x:v>
      </x:c>
      <x:c r="G7" s="11" t="str">
        <x:v>Risk Owner (Proposed)</x:v>
      </x:c>
      <x:c r="H7" s="11" t="str">
        <x:v>Inherent Likelihood</x:v>
      </x:c>
      <x:c r="I7" s="11" t="str">
        <x:v>Inherent Impact</x:v>
      </x:c>
      <x:c r="J7" s="11" t="str">
        <x:v>Inherent Risk Score</x:v>
      </x:c>
      <x:c r="K7" s="11" t="str">
        <x:v>Inherent Risk Rating</x:v>
      </x:c>
      <x:c r="L7" s="11" t="str">
        <x:v>Existing Controls (Verified)</x:v>
      </x:c>
      <x:c r="M7" s="11" t="str">
        <x:v>Residual Likelihood</x:v>
      </x:c>
      <x:c r="N7" s="11" t="str">
        <x:v>Residual Impact</x:v>
      </x:c>
      <x:c r="O7" s="11" t="str">
        <x:v>Residual Risk Score</x:v>
      </x:c>
      <x:c r="P7" s="11" t="str">
        <x:v>Residual Risk Rating</x:v>
      </x:c>
      <x:c r="Q7" s="11" t="str">
        <x:v>Treatment</x:v>
      </x:c>
      <x:c r="R7" s="11" t="str">
        <x:v>Treatment / Mitigation Action</x:v>
      </x:c>
      <x:c r="S7" s="11" t="str">
        <x:v>Action Owner (Proposed)</x:v>
      </x:c>
      <x:c r="T7" s="11" t="str">
        <x:v>Status</x:v>
      </x:c>
      <x:c r="U7" s="11" t="str">
        <x:v>Target Date</x:v>
      </x:c>
      <x:c r="V7" s="11" t="str">
        <x:v>Next Review Date</x:v>
      </x:c>
      <x:c r="W7" s="11" t="str">
        <x:v>Evidence / Linked Artifact</x:v>
      </x:c>
    </x:row>
    <x:row r="8" ht="64" customHeight="1">
      <x:c r="A8" s="14" t="str">
        <x:v>SEP-RISK-001</x:v>
      </x:c>
      <x:c r="B8" s="14" t="str">
        <x:v>Clinical Safety</x:v>
      </x:c>
      <x:c r="C8" s="14" t="str">
        <x:v>At OP07, sensitivity of 48.41% leaves positive patient-hour observations unflagged, potentially creating false reassurance.</x:v>
      </x:c>
      <x:c r="D8" s="14" t="str">
        <x:v>ANIHG-AI-002</x:v>
      </x:c>
      <x:c r="E8" s="14" t="str">
        <x:v>Validation</x:v>
      </x:c>
      <x:c r="F8" s="14" t="str">
        <x:v>Sensitivity 48.41%</x:v>
      </x:c>
      <x:c r="G8" s="14" t="str">
        <x:v>Clinical Safety Lead</x:v>
      </x:c>
      <x:c r="H8" s="14" t="n">
        <x:v>4</x:v>
      </x:c>
      <x:c r="I8" s="14" t="n">
        <x:v>5</x:v>
      </x:c>
      <x:c r="J8" s="14" t="n">
        <x:f>H8*I8</x:f>
        <x:v>20</x:v>
      </x:c>
      <x:c r="K8" s="14" t="str">
        <x:f>IF(J8&gt;=20,"Critical",IF(J8&gt;=12,"High",IF(J8&gt;=6,"Moderate","Low")))</x:f>
        <x:v>Critical</x:v>
      </x:c>
      <x:c r="L8" s="14" t="str">
        <x:v>Threshold locked; NO-GO for patient care; limitation disclosed</x:v>
      </x:c>
      <x:c r="M8" s="14" t="n">
        <x:v>3</x:v>
      </x:c>
      <x:c r="N8" s="14" t="n">
        <x:v>5</x:v>
      </x:c>
      <x:c r="O8" s="14" t="n">
        <x:f>M8*N8</x:f>
        <x:v>15</x:v>
      </x:c>
      <x:c r="P8" s="14" t="str">
        <x:f>IF(O8&gt;=20,"Critical",IF(O8&gt;=12,"High",IF(O8&gt;=6,"Moderate","Low")))</x:f>
        <x:v>High</x:v>
      </x:c>
      <x:c r="Q8" s="14" t="str">
        <x:v>Avoid</x:v>
      </x:c>
      <x:c r="R8" s="14" t="str">
        <x:v>Maintain clinical-use prohibition; prospectively evaluate missed events and safety thresholds</x:v>
      </x:c>
      <x:c r="S8" s="14" t="str">
        <x:v>Clinical Validation Lead</x:v>
      </x:c>
      <x:c r="T8" s="14" t="str">
        <x:v>Escalated</x:v>
      </x:c>
      <x:c r="U8" s="14"/>
      <x:c r="V8" s="14"/>
      <x:c r="W8" s="14" t="str">
        <x:v>Clinical AI Evaluation Report §4</x:v>
      </x:c>
    </x:row>
    <x:row r="9" ht="64" customHeight="1">
      <x:c r="A9" s="14" t="str">
        <x:v>SEP-RISK-002</x:v>
      </x:c>
      <x:c r="B9" s="14" t="str">
        <x:v>Clinical Safety</x:v>
      </x:c>
      <x:c r="C9" s="14" t="str">
        <x:v>At OP07, PPV 1.12% may result in substantial non-actionable reviews and alert fatigue.</x:v>
      </x:c>
      <x:c r="D9" s="14" t="str">
        <x:v>ANIHG-AI-002</x:v>
      </x:c>
      <x:c r="E9" s="14" t="str">
        <x:v>Validation</x:v>
      </x:c>
      <x:c r="F9" s="14" t="str">
        <x:v>PPV 1.12%; PR-AUC 0.012340</x:v>
      </x:c>
      <x:c r="G9" s="14" t="str">
        <x:v>Clinical Safety Lead</x:v>
      </x:c>
      <x:c r="H9" s="14" t="n">
        <x:v>5</x:v>
      </x:c>
      <x:c r="I9" s="14" t="n">
        <x:v>4</x:v>
      </x:c>
      <x:c r="J9" s="14" t="n">
        <x:f>H9*I9</x:f>
        <x:v>20</x:v>
      </x:c>
      <x:c r="K9" s="14" t="str">
        <x:f>IF(J9&gt;=20,"Critical",IF(J9&gt;=12,"High",IF(J9&gt;=6,"Moderate","Low")))</x:f>
        <x:v>Critical</x:v>
      </x:c>
      <x:c r="L9" s="14" t="str">
        <x:v>Precision disclosed; demo-only alerts</x:v>
      </x:c>
      <x:c r="M9" s="14" t="n">
        <x:v>4</x:v>
      </x:c>
      <x:c r="N9" s="14" t="n">
        <x:v>4</x:v>
      </x:c>
      <x:c r="O9" s="14" t="n">
        <x:f>M9*N9</x:f>
        <x:v>16</x:v>
      </x:c>
      <x:c r="P9" s="14" t="str">
        <x:f>IF(O9&gt;=20,"Critical",IF(O9&gt;=12,"High",IF(O9&gt;=6,"Moderate","Low")))</x:f>
        <x:v>High</x:v>
      </x:c>
      <x:c r="Q9" s="14" t="str">
        <x:v>Mitigate</x:v>
      </x:c>
      <x:c r="R9" s="14" t="str">
        <x:v>Evaluate clinical utility, precision and alternative workflows without modifying closed Test evidence</x:v>
      </x:c>
      <x:c r="S9" s="14" t="str">
        <x:v>Clinical Validation Lead</x:v>
      </x:c>
      <x:c r="T9" s="14" t="str">
        <x:v>Escalated</x:v>
      </x:c>
      <x:c r="U9" s="14"/>
      <x:c r="V9" s="14"/>
      <x:c r="W9" s="14" t="str">
        <x:v>Evaluation Report §4</x:v>
      </x:c>
    </x:row>
    <x:row r="10" ht="64" customHeight="1">
      <x:c r="A10" s="14" t="str">
        <x:v>SEP-RISK-003</x:v>
      </x:c>
      <x:c r="B10" s="14" t="str">
        <x:v>Workflow &amp; Adoption</x:v>
      </x:c>
      <x:c r="C10" s="14" t="str">
        <x:v>At least one flag in 69.00% of Test patients may overload clinical teams if adopted.</x:v>
      </x:c>
      <x:c r="D10" s="14" t="str">
        <x:v>ANIHG-AI-002</x:v>
      </x:c>
      <x:c r="E10" s="14" t="str">
        <x:v>Deployment</x:v>
      </x:c>
      <x:c r="F10" s="14" t="str">
        <x:v>69.00% patients flagged</x:v>
      </x:c>
      <x:c r="G10" s="14" t="str">
        <x:v>Clinical Operations Lead</x:v>
      </x:c>
      <x:c r="H10" s="14" t="n">
        <x:v>5</x:v>
      </x:c>
      <x:c r="I10" s="14" t="n">
        <x:v>4</x:v>
      </x:c>
      <x:c r="J10" s="14" t="n">
        <x:f>H10*I10</x:f>
        <x:v>20</x:v>
      </x:c>
      <x:c r="K10" s="14" t="str">
        <x:f>IF(J10&gt;=20,"Critical",IF(J10&gt;=12,"High",IF(J10&gt;=6,"Moderate","Low")))</x:f>
        <x:v>Critical</x:v>
      </x:c>
      <x:c r="L10" s="14" t="str">
        <x:v>Retrospective workload quantified; no hospital integration</x:v>
      </x:c>
      <x:c r="M10" s="14" t="n">
        <x:v>4</x:v>
      </x:c>
      <x:c r="N10" s="14" t="n">
        <x:v>4</x:v>
      </x:c>
      <x:c r="O10" s="14" t="n">
        <x:f>M10*N10</x:f>
        <x:v>16</x:v>
      </x:c>
      <x:c r="P10" s="14" t="str">
        <x:f>IF(O10&gt;=20,"Critical",IF(O10&gt;=12,"High",IF(O10&gt;=6,"Moderate","Low")))</x:f>
        <x:v>High</x:v>
      </x:c>
      <x:c r="Q10" s="14" t="str">
        <x:v>Avoid</x:v>
      </x:c>
      <x:c r="R10" s="14" t="str">
        <x:v>Conduct prospective workflow and capacity assessment before any patient-facing alerts</x:v>
      </x:c>
      <x:c r="S10" s="14" t="str">
        <x:v>Clinical Operations Lead</x:v>
      </x:c>
      <x:c r="T10" s="14" t="str">
        <x:v>Open</x:v>
      </x:c>
      <x:c r="U10" s="14"/>
      <x:c r="V10" s="14"/>
      <x:c r="W10" s="14" t="str">
        <x:v>Evaluation Report §4.3</x:v>
      </x:c>
    </x:row>
    <x:row r="11" ht="64" customHeight="1">
      <x:c r="A11" s="14" t="str">
        <x:v>SEP-RISK-004</x:v>
      </x:c>
      <x:c r="B11" s="14" t="str">
        <x:v>Temporal Stability</x:v>
      </x:c>
      <x:c r="C11" s="14" t="str">
        <x:v>Sensitivity of 10.42–12.20% in several observation-history bands may miss deterioration.</x:v>
      </x:c>
      <x:c r="D11" s="14" t="str">
        <x:v>ANIHG-AI-002</x:v>
      </x:c>
      <x:c r="E11" s="14" t="str">
        <x:v>Validation</x:v>
      </x:c>
      <x:c r="F11" s="14" t="str">
        <x:v>1–5h 12.20%; 6–11h 10.42%; 12–23h 11.67%</x:v>
      </x:c>
      <x:c r="G11" s="14" t="str">
        <x:v>Model Validation Lead</x:v>
      </x:c>
      <x:c r="H11" s="14" t="n">
        <x:v>5</x:v>
      </x:c>
      <x:c r="I11" s="14" t="n">
        <x:v>5</x:v>
      </x:c>
      <x:c r="J11" s="14" t="n">
        <x:f>H11*I11</x:f>
        <x:v>25</x:v>
      </x:c>
      <x:c r="K11" s="14" t="str">
        <x:f>IF(J11&gt;=20,"Critical",IF(J11&gt;=12,"High",IF(J11&gt;=6,"Moderate","Low")))</x:f>
        <x:v>Critical</x:v>
      </x:c>
      <x:c r="L11" s="14" t="str">
        <x:v>Temporal slices published; live clinical use prohibited</x:v>
      </x:c>
      <x:c r="M11" s="14" t="n">
        <x:v>4</x:v>
      </x:c>
      <x:c r="N11" s="14" t="n">
        <x:v>5</x:v>
      </x:c>
      <x:c r="O11" s="14" t="n">
        <x:f>M11*N11</x:f>
        <x:v>20</x:v>
      </x:c>
      <x:c r="P11" s="14" t="str">
        <x:f>IF(O11&gt;=20,"Critical",IF(O11&gt;=12,"High",IF(O11&gt;=6,"Moderate","Low")))</x:f>
        <x:v>Critical</x:v>
      </x:c>
      <x:c r="Q11" s="14" t="str">
        <x:v>Mitigate</x:v>
      </x:c>
      <x:c r="R11" s="14" t="str">
        <x:v>Investigate temporal failure modes; externally validate history-stratified safety</x:v>
      </x:c>
      <x:c r="S11" s="14" t="str">
        <x:v>Model Validation Lead</x:v>
      </x:c>
      <x:c r="T11" s="14" t="str">
        <x:v>Escalated</x:v>
      </x:c>
      <x:c r="U11" s="14"/>
      <x:c r="V11" s="14"/>
      <x:c r="W11" s="14" t="str">
        <x:v>Evaluation Report §5</x:v>
      </x:c>
    </x:row>
    <x:row r="12" ht="64" customHeight="1">
      <x:c r="A12" s="14" t="str">
        <x:v>SEP-RISK-005</x:v>
      </x:c>
      <x:c r="B12" s="14" t="str">
        <x:v>Temporal Stability</x:v>
      </x:c>
      <x:c r="C12" s="14" t="str">
        <x:v>A 74.19% zero-hour FPR may generate unreliable early observation alerts.</x:v>
      </x:c>
      <x:c r="D12" s="14" t="str">
        <x:v>ANIHG-AI-002</x:v>
      </x:c>
      <x:c r="E12" s="14" t="str">
        <x:v>Validation</x:v>
      </x:c>
      <x:c r="F12" s="14" t="str">
        <x:v>Zero-hour FPR 74.19%</x:v>
      </x:c>
      <x:c r="G12" s="14" t="str">
        <x:v>Clinical Safety Lead</x:v>
      </x:c>
      <x:c r="H12" s="14" t="n">
        <x:v>5</x:v>
      </x:c>
      <x:c r="I12" s="14" t="n">
        <x:v>4</x:v>
      </x:c>
      <x:c r="J12" s="14" t="n">
        <x:f>H12*I12</x:f>
        <x:v>20</x:v>
      </x:c>
      <x:c r="K12" s="14" t="str">
        <x:f>IF(J12&gt;=20,"Critical",IF(J12&gt;=12,"High",IF(J12&gt;=6,"Moderate","Low")))</x:f>
        <x:v>Critical</x:v>
      </x:c>
      <x:c r="L12" s="14" t="str">
        <x:v>Temporal limitation documented; no live alerting</x:v>
      </x:c>
      <x:c r="M12" s="14" t="n">
        <x:v>4</x:v>
      </x:c>
      <x:c r="N12" s="14" t="n">
        <x:v>4</x:v>
      </x:c>
      <x:c r="O12" s="14" t="n">
        <x:f>M12*N12</x:f>
        <x:v>16</x:v>
      </x:c>
      <x:c r="P12" s="14" t="str">
        <x:f>IF(O12&gt;=20,"Critical",IF(O12&gt;=12,"High",IF(O12&gt;=6,"Moderate","Low")))</x:f>
        <x:v>High</x:v>
      </x:c>
      <x:c r="Q12" s="14" t="str">
        <x:v>Avoid</x:v>
      </x:c>
      <x:c r="R12" s="14" t="str">
        <x:v>Block clinical use pending safe early-window behavior and clinician review</x:v>
      </x:c>
      <x:c r="S12" s="14" t="str">
        <x:v>Clinical Safety Lead</x:v>
      </x:c>
      <x:c r="T12" s="14" t="str">
        <x:v>Escalated</x:v>
      </x:c>
      <x:c r="U12" s="14"/>
      <x:c r="V12" s="14"/>
      <x:c r="W12" s="14" t="str">
        <x:v>Evaluation Report §5</x:v>
      </x:c>
    </x:row>
    <x:row r="13" ht="64" customHeight="1">
      <x:c r="A13" s="14" t="str">
        <x:v>SEP-RISK-006</x:v>
      </x:c>
      <x:c r="B13" s="14" t="str">
        <x:v>Model Performance</x:v>
      </x:c>
      <x:c r="C13" s="14" t="str">
        <x:v>Positive target prevalence of 0.192% may make aggregate discrimination misleading and degrade clinical utility.</x:v>
      </x:c>
      <x:c r="D13" s="14" t="str">
        <x:v>ANIHG-AI-002</x:v>
      </x:c>
      <x:c r="E13" s="14" t="str">
        <x:v>Validation</x:v>
      </x:c>
      <x:c r="F13" s="14" t="str">
        <x:v>PR-AUC 0.012340; prevalence 0.192%</x:v>
      </x:c>
      <x:c r="G13" s="14" t="str">
        <x:v>Model Owner</x:v>
      </x:c>
      <x:c r="H13" s="14" t="n">
        <x:v>4</x:v>
      </x:c>
      <x:c r="I13" s="14" t="n">
        <x:v>4</x:v>
      </x:c>
      <x:c r="J13" s="14" t="n">
        <x:f>H13*I13</x:f>
        <x:v>16</x:v>
      </x:c>
      <x:c r="K13" s="14" t="str">
        <x:f>IF(J13&gt;=20,"Critical",IF(J13&gt;=12,"High",IF(J13&gt;=6,"Moderate","Low")))</x:f>
        <x:v>High</x:v>
      </x:c>
      <x:c r="L13" s="14" t="str">
        <x:v>PR-AUC, PPV, burden and prevalence disclosed</x:v>
      </x:c>
      <x:c r="M13" s="14" t="n">
        <x:v>3</x:v>
      </x:c>
      <x:c r="N13" s="14" t="n">
        <x:v>4</x:v>
      </x:c>
      <x:c r="O13" s="14" t="n">
        <x:f>M13*N13</x:f>
        <x:v>12</x:v>
      </x:c>
      <x:c r="P13" s="14" t="str">
        <x:f>IF(O13&gt;=20,"Critical",IF(O13&gt;=12,"High",IF(O13&gt;=6,"Moderate","Low")))</x:f>
        <x:v>High</x:v>
      </x:c>
      <x:c r="Q13" s="14" t="str">
        <x:v>Mitigate</x:v>
      </x:c>
      <x:c r="R13" s="14" t="str">
        <x:v>Assess net benefit and operational decision thresholds on new independent data</x:v>
      </x:c>
      <x:c r="S13" s="14" t="str">
        <x:v>Model Validation Lead</x:v>
      </x:c>
      <x:c r="T13" s="14" t="str">
        <x:v>Open</x:v>
      </x:c>
      <x:c r="U13" s="14"/>
      <x:c r="V13" s="14"/>
      <x:c r="W13" s="14" t="str">
        <x:v>Evaluation Report §3–4</x:v>
      </x:c>
    </x:row>
    <x:row r="14" ht="64" customHeight="1">
      <x:c r="A14" s="14" t="str">
        <x:v>SEP-RISK-007</x:v>
      </x:c>
      <x:c r="B14" s="14" t="str">
        <x:v>Calibration</x:v>
      </x:c>
      <x:c r="C14" s="14" t="str">
        <x:v>Overall Brier 0.001914 does not establish calibrated probabilities across time and patient groups.</x:v>
      </x:c>
      <x:c r="D14" s="14" t="str">
        <x:v>ANIHG-AI-002</x:v>
      </x:c>
      <x:c r="E14" s="14" t="str">
        <x:v>Validation</x:v>
      </x:c>
      <x:c r="F14" s="14" t="str">
        <x:v>Brier 0.001914; subgroup calibration not established</x:v>
      </x:c>
      <x:c r="G14" s="14" t="str">
        <x:v>Model Validation Lead</x:v>
      </x:c>
      <x:c r="H14" s="14" t="n">
        <x:v>4</x:v>
      </x:c>
      <x:c r="I14" s="14" t="n">
        <x:v>4</x:v>
      </x:c>
      <x:c r="J14" s="14" t="n">
        <x:f>H14*I14</x:f>
        <x:v>16</x:v>
      </x:c>
      <x:c r="K14" s="14" t="str">
        <x:f>IF(J14&gt;=20,"Critical",IF(J14&gt;=12,"High",IF(J14&gt;=6,"Moderate","Low")))</x:f>
        <x:v>High</x:v>
      </x:c>
      <x:c r="L14" s="14" t="str">
        <x:v>Frozen logistic recalibration; limitation stated</x:v>
      </x:c>
      <x:c r="M14" s="14" t="n">
        <x:v>3</x:v>
      </x:c>
      <x:c r="N14" s="14" t="n">
        <x:v>4</x:v>
      </x:c>
      <x:c r="O14" s="14" t="n">
        <x:f>M14*N14</x:f>
        <x:v>12</x:v>
      </x:c>
      <x:c r="P14" s="14" t="str">
        <x:f>IF(O14&gt;=20,"Critical",IF(O14&gt;=12,"High",IF(O14&gt;=6,"Moderate","Low")))</x:f>
        <x:v>High</x:v>
      </x:c>
      <x:c r="Q14" s="14" t="str">
        <x:v>Mitigate</x:v>
      </x:c>
      <x:c r="R14" s="14" t="str">
        <x:v>Assess reliability curves, calibration-in-the-large and slopes in external cohorts</x:v>
      </x:c>
      <x:c r="S14" s="14" t="str">
        <x:v>Model Validation Lead</x:v>
      </x:c>
      <x:c r="T14" s="14" t="str">
        <x:v>Open</x:v>
      </x:c>
      <x:c r="U14" s="14"/>
      <x:c r="V14" s="14"/>
      <x:c r="W14" s="14" t="str">
        <x:v>Model Card §4–5</x:v>
      </x:c>
    </x:row>
    <x:row r="15" ht="64" customHeight="1">
      <x:c r="A15" s="14" t="str">
        <x:v>SEP-RISK-008</x:v>
      </x:c>
      <x:c r="B15" s="14" t="str">
        <x:v>Generalizability / Transportability</x:v>
      </x:c>
      <x:c r="C15" s="14" t="str">
        <x:v>Internal Test evidence may not transfer to new ICUs, geographies or EHR workflows.</x:v>
      </x:c>
      <x:c r="D15" s="14" t="str">
        <x:v>ANIHG-AI-002</x:v>
      </x:c>
      <x:c r="E15" s="14" t="str">
        <x:v>Validation</x:v>
      </x:c>
      <x:c r="F15" s="14" t="str">
        <x:v>Independent external validation absent</x:v>
      </x:c>
      <x:c r="G15" s="14" t="str">
        <x:v>Clinical Validation Lead</x:v>
      </x:c>
      <x:c r="H15" s="14" t="n">
        <x:v>4</x:v>
      </x:c>
      <x:c r="I15" s="14" t="n">
        <x:v>5</x:v>
      </x:c>
      <x:c r="J15" s="14" t="n">
        <x:f>H15*I15</x:f>
        <x:v>20</x:v>
      </x:c>
      <x:c r="K15" s="14" t="str">
        <x:f>IF(J15&gt;=20,"Critical",IF(J15&gt;=12,"High",IF(J15&gt;=6,"Moderate","Low")))</x:f>
        <x:v>Critical</x:v>
      </x:c>
      <x:c r="L15" s="14" t="str">
        <x:v>No external-performance claims; NO-GO</x:v>
      </x:c>
      <x:c r="M15" s="14" t="n">
        <x:v>3</x:v>
      </x:c>
      <x:c r="N15" s="14" t="n">
        <x:v>5</x:v>
      </x:c>
      <x:c r="O15" s="14" t="n">
        <x:f>M15*N15</x:f>
        <x:v>15</x:v>
      </x:c>
      <x:c r="P15" s="14" t="str">
        <x:f>IF(O15&gt;=20,"Critical",IF(O15&gt;=12,"High",IF(O15&gt;=6,"Moderate","Low")))</x:f>
        <x:v>High</x:v>
      </x:c>
      <x:c r="Q15" s="14" t="str">
        <x:v>Avoid</x:v>
      </x:c>
      <x:c r="R15" s="14" t="str">
        <x:v>Validate frozen model at independent institution before clinical consideration</x:v>
      </x:c>
      <x:c r="S15" s="14" t="str">
        <x:v>External Validation Lead</x:v>
      </x:c>
      <x:c r="T15" s="14" t="str">
        <x:v>Escalated</x:v>
      </x:c>
      <x:c r="U15" s="14"/>
      <x:c r="V15" s="14"/>
      <x:c r="W15" s="14" t="str">
        <x:v>Evaluation Report §7–9</x:v>
      </x:c>
    </x:row>
    <x:row r="16" ht="64" customHeight="1">
      <x:c r="A16" s="14" t="str">
        <x:v>SEP-RISK-009</x:v>
      </x:c>
      <x:c r="B16" s="14" t="str">
        <x:v>Data Quality</x:v>
      </x:c>
      <x:c r="C16" s="14" t="str">
        <x:v>High missingness in multiple ICU measurements may undermine input reliability across settings.</x:v>
      </x:c>
      <x:c r="D16" s="14" t="str">
        <x:v>ANIHG-AI-002</x:v>
      </x:c>
      <x:c r="E16" s="14" t="str">
        <x:v>Data</x:v>
      </x:c>
      <x:c r="F16" s="14" t="str">
        <x:v>27 variables ≥80% missing in full cohort</x:v>
      </x:c>
      <x:c r="G16" s="14" t="str">
        <x:v>Data Governance Lead</x:v>
      </x:c>
      <x:c r="H16" s="14" t="n">
        <x:v>5</x:v>
      </x:c>
      <x:c r="I16" s="14" t="n">
        <x:v>4</x:v>
      </x:c>
      <x:c r="J16" s="14" t="n">
        <x:f>H16*I16</x:f>
        <x:v>20</x:v>
      </x:c>
      <x:c r="K16" s="14" t="str">
        <x:f>IF(J16&gt;=20,"Critical",IF(J16&gt;=12,"High",IF(J16&gt;=6,"Moderate","Low")))</x:f>
        <x:v>Critical</x:v>
      </x:c>
      <x:c r="L16" s="14" t="str">
        <x:v>Missingness profiled; frozen approved feature registry</x:v>
      </x:c>
      <x:c r="M16" s="14" t="n">
        <x:v>4</x:v>
      </x:c>
      <x:c r="N16" s="14" t="n">
        <x:v>4</x:v>
      </x:c>
      <x:c r="O16" s="14" t="n">
        <x:f>M16*N16</x:f>
        <x:v>16</x:v>
      </x:c>
      <x:c r="P16" s="14" t="str">
        <x:f>IF(O16&gt;=20,"Critical",IF(O16&gt;=12,"High",IF(O16&gt;=6,"Moderate","Low")))</x:f>
        <x:v>High</x:v>
      </x:c>
      <x:c r="Q16" s="14" t="str">
        <x:v>Mitigate</x:v>
      </x:c>
      <x:c r="R16" s="14" t="str">
        <x:v>Test missingness shift, availability, and input-quality stop conditions</x:v>
      </x:c>
      <x:c r="S16" s="14" t="str">
        <x:v>Data Engineering Lead</x:v>
      </x:c>
      <x:c r="T16" s="14" t="str">
        <x:v>Open</x:v>
      </x:c>
      <x:c r="U16" s="14"/>
      <x:c r="V16" s="14"/>
      <x:c r="W16" s="14" t="str">
        <x:v>Cohort missingness audit</x:v>
      </x:c>
    </x:row>
    <x:row r="17" ht="64" customHeight="1">
      <x:c r="A17" s="14" t="str">
        <x:v>SEP-RISK-010</x:v>
      </x:c>
      <x:c r="B17" s="14" t="str">
        <x:v>Data Quality</x:v>
      </x:c>
      <x:c r="C17" s="14" t="str">
        <x:v>Set A/B differences in availability may create source-dependent model behavior.</x:v>
      </x:c>
      <x:c r="D17" s="14" t="str">
        <x:v>ANIHG-AI-002</x:v>
      </x:c>
      <x:c r="E17" s="14" t="str">
        <x:v>Data</x:v>
      </x:c>
      <x:c r="F17" s="14" t="str">
        <x:v>DBP 34.18 pp; Unit1/2 19.24 pp difference</x:v>
      </x:c>
      <x:c r="G17" s="14" t="str">
        <x:v>Data Governance Lead</x:v>
      </x:c>
      <x:c r="H17" s="14" t="n">
        <x:v>4</x:v>
      </x:c>
      <x:c r="I17" s="14" t="n">
        <x:v>4</x:v>
      </x:c>
      <x:c r="J17" s="14" t="n">
        <x:f>H17*I17</x:f>
        <x:v>16</x:v>
      </x:c>
      <x:c r="K17" s="14" t="str">
        <x:f>IF(J17&gt;=20,"Critical",IF(J17&gt;=12,"High",IF(J17&gt;=6,"Moderate","Low")))</x:f>
        <x:v>High</x:v>
      </x:c>
      <x:c r="L17" s="14" t="str">
        <x:v>Cross-source audit documented</x:v>
      </x:c>
      <x:c r="M17" s="14" t="n">
        <x:v>3</x:v>
      </x:c>
      <x:c r="N17" s="14" t="n">
        <x:v>4</x:v>
      </x:c>
      <x:c r="O17" s="14" t="n">
        <x:f>M17*N17</x:f>
        <x:v>12</x:v>
      </x:c>
      <x:c r="P17" s="14" t="str">
        <x:f>IF(O17&gt;=20,"Critical",IF(O17&gt;=12,"High",IF(O17&gt;=6,"Moderate","Low")))</x:f>
        <x:v>High</x:v>
      </x:c>
      <x:c r="Q17" s="14" t="str">
        <x:v>Mitigate</x:v>
      </x:c>
      <x:c r="R17" s="14" t="str">
        <x:v>Validate by source and site; specify data-quality acceptance criteria</x:v>
      </x:c>
      <x:c r="S17" s="14" t="str">
        <x:v>Data Validation Lead</x:v>
      </x:c>
      <x:c r="T17" s="14" t="str">
        <x:v>Open</x:v>
      </x:c>
      <x:c r="U17" s="14"/>
      <x:c r="V17" s="14"/>
      <x:c r="W17" s="14" t="str">
        <x:v>Set A/B heterogeneity audit</x:v>
      </x:c>
    </x:row>
    <x:row r="18" ht="64" customHeight="1">
      <x:c r="A18" s="14" t="str">
        <x:v>SEP-RISK-011</x:v>
      </x:c>
      <x:c r="B18" s="14" t="str">
        <x:v>Bias &amp; Fairness</x:v>
      </x:c>
      <x:c r="C18" s="14" t="str">
        <x:v>Unverified subgroup sensitivity and PPV may expose patient groups to unequal model performance.</x:v>
      </x:c>
      <x:c r="D18" s="14" t="str">
        <x:v>ANIHG-AI-002</x:v>
      </x:c>
      <x:c r="E18" s="14" t="str">
        <x:v>Validation</x:v>
      </x:c>
      <x:c r="F18" s="14" t="str">
        <x:v>Independent subgroup assurance not established</x:v>
      </x:c>
      <x:c r="G18" s="14" t="str">
        <x:v>Responsible AI Lead</x:v>
      </x:c>
      <x:c r="H18" s="14" t="n">
        <x:v>4</x:v>
      </x:c>
      <x:c r="I18" s="14" t="n">
        <x:v>5</x:v>
      </x:c>
      <x:c r="J18" s="14" t="n">
        <x:f>H18*I18</x:f>
        <x:v>20</x:v>
      </x:c>
      <x:c r="K18" s="14" t="str">
        <x:f>IF(J18&gt;=20,"Critical",IF(J18&gt;=12,"High",IF(J18&gt;=6,"Moderate","Low")))</x:f>
        <x:v>Critical</x:v>
      </x:c>
      <x:c r="L18" s="14" t="str">
        <x:v>No fairness claims; no clinical use</x:v>
      </x:c>
      <x:c r="M18" s="14" t="n">
        <x:v>3</x:v>
      </x:c>
      <x:c r="N18" s="14" t="n">
        <x:v>5</x:v>
      </x:c>
      <x:c r="O18" s="14" t="n">
        <x:f>M18*N18</x:f>
        <x:v>15</x:v>
      </x:c>
      <x:c r="P18" s="14" t="str">
        <x:f>IF(O18&gt;=20,"Critical",IF(O18&gt;=12,"High",IF(O18&gt;=6,"Moderate","Low")))</x:f>
        <x:v>High</x:v>
      </x:c>
      <x:c r="Q18" s="14" t="str">
        <x:v>Mitigate</x:v>
      </x:c>
      <x:c r="R18" s="14" t="str">
        <x:v>Complete subgroup error, calibration and intersectional analysis with appropriate sample sizes</x:v>
      </x:c>
      <x:c r="S18" s="14" t="str">
        <x:v>Responsible AI Lead</x:v>
      </x:c>
      <x:c r="T18" s="14" t="str">
        <x:v>Open</x:v>
      </x:c>
      <x:c r="U18" s="14"/>
      <x:c r="V18" s="14"/>
      <x:c r="W18" s="14" t="str">
        <x:v>Evaluation Report §7</x:v>
      </x:c>
    </x:row>
    <x:row r="19" ht="64" customHeight="1">
      <x:c r="A19" s="14" t="str">
        <x:v>SEP-RISK-012</x:v>
      </x:c>
      <x:c r="B19" s="14" t="str">
        <x:v>Explainability</x:v>
      </x:c>
      <x:c r="C19" s="14" t="str">
        <x:v>39.14% care-process permutation importance may encode workflow rather than transferable physiology.</x:v>
      </x:c>
      <x:c r="D19" s="14" t="str">
        <x:v>ANIHG-AI-002</x:v>
      </x:c>
      <x:c r="E19" s="14" t="str">
        <x:v>Validation</x:v>
      </x:c>
      <x:c r="F19" s="14" t="str">
        <x:v>Care-process importance 39.14%</x:v>
      </x:c>
      <x:c r="G19" s="14" t="str">
        <x:v>Model Validation Lead</x:v>
      </x:c>
      <x:c r="H19" s="14" t="n">
        <x:v>4</x:v>
      </x:c>
      <x:c r="I19" s="14" t="n">
        <x:v>4</x:v>
      </x:c>
      <x:c r="J19" s="14" t="n">
        <x:f>H19*I19</x:f>
        <x:v>16</x:v>
      </x:c>
      <x:c r="K19" s="14" t="str">
        <x:f>IF(J19&gt;=20,"Critical",IF(J19&gt;=12,"High",IF(J19&gt;=6,"Moderate","Low")))</x:f>
        <x:v>High</x:v>
      </x:c>
      <x:c r="L19" s="14" t="str">
        <x:v>Global permutation importance disclosed; non-causal caveat</x:v>
      </x:c>
      <x:c r="M19" s="14" t="n">
        <x:v>3</x:v>
      </x:c>
      <x:c r="N19" s="14" t="n">
        <x:v>4</x:v>
      </x:c>
      <x:c r="O19" s="14" t="n">
        <x:f>M19*N19</x:f>
        <x:v>12</x:v>
      </x:c>
      <x:c r="P19" s="14" t="str">
        <x:f>IF(O19&gt;=20,"Critical",IF(O19&gt;=12,"High",IF(O19&gt;=6,"Moderate","Low")))</x:f>
        <x:v>High</x:v>
      </x:c>
      <x:c r="Q19" s="14" t="str">
        <x:v>Mitigate</x:v>
      </x:c>
      <x:c r="R19" s="14" t="str">
        <x:v>Evaluate site-specific process dependence and feature stability</x:v>
      </x:c>
      <x:c r="S19" s="14" t="str">
        <x:v>Model Validation Lead</x:v>
      </x:c>
      <x:c r="T19" s="14" t="str">
        <x:v>Open</x:v>
      </x:c>
      <x:c r="U19" s="14"/>
      <x:c r="V19" s="14"/>
      <x:c r="W19" s="14" t="str">
        <x:v>Model Card §5.4</x:v>
      </x:c>
    </x:row>
    <x:row r="20" ht="64" customHeight="1">
      <x:c r="A20" s="14" t="str">
        <x:v>SEP-RISK-013</x:v>
      </x:c>
      <x:c r="B20" s="14" t="str">
        <x:v>Explainability</x:v>
      </x:c>
      <x:c r="C20" s="14" t="str">
        <x:v>Global permutation importance may be misrepresented as patient-level causal explanation.</x:v>
      </x:c>
      <x:c r="D20" s="14" t="str">
        <x:v>ANIHG-AI-002</x:v>
      </x:c>
      <x:c r="E20" s="14" t="str">
        <x:v>Deployment</x:v>
      </x:c>
      <x:c r="F20" s="14" t="str">
        <x:v>No individual SHAP or causal inference provided</x:v>
      </x:c>
      <x:c r="G20" s="14" t="str">
        <x:v>Product Owner</x:v>
      </x:c>
      <x:c r="H20" s="14" t="n">
        <x:v>4</x:v>
      </x:c>
      <x:c r="I20" s="14" t="n">
        <x:v>3</x:v>
      </x:c>
      <x:c r="J20" s="14" t="n">
        <x:f>H20*I20</x:f>
        <x:v>12</x:v>
      </x:c>
      <x:c r="K20" s="14" t="str">
        <x:f>IF(J20&gt;=20,"Critical",IF(J20&gt;=12,"High",IF(J20&gt;=6,"Moderate","Low")))</x:f>
        <x:v>High</x:v>
      </x:c>
      <x:c r="L20" s="14" t="str">
        <x:v>Global-only method explicitly labeled</x:v>
      </x:c>
      <x:c r="M20" s="14" t="n">
        <x:v>2</x:v>
      </x:c>
      <x:c r="N20" s="14" t="n">
        <x:v>3</x:v>
      </x:c>
      <x:c r="O20" s="14" t="n">
        <x:f>M20*N20</x:f>
        <x:v>6</x:v>
      </x:c>
      <x:c r="P20" s="14" t="str">
        <x:f>IF(O20&gt;=20,"Critical",IF(O20&gt;=12,"High",IF(O20&gt;=6,"Moderate","Low")))</x:f>
        <x:v>Moderate</x:v>
      </x:c>
      <x:c r="Q20" s="14" t="str">
        <x:v>Mitigate</x:v>
      </x:c>
      <x:c r="R20" s="14" t="str">
        <x:v>Maintain plain-language explanation boundaries and user guidance</x:v>
      </x:c>
      <x:c r="S20" s="14" t="str">
        <x:v>Product Owner</x:v>
      </x:c>
      <x:c r="T20" s="14" t="str">
        <x:v>Monitoring</x:v>
      </x:c>
      <x:c r="U20" s="14"/>
      <x:c r="V20" s="14"/>
      <x:c r="W20" s="14" t="str">
        <x:v>Model Card §5.4</x:v>
      </x:c>
    </x:row>
    <x:row r="21" ht="64" customHeight="1">
      <x:c r="A21" s="14" t="str">
        <x:v>SEP-RISK-014</x:v>
      </x:c>
      <x:c r="B21" s="14" t="str">
        <x:v>Human Oversight</x:v>
      </x:c>
      <x:c r="C21" s="14" t="str">
        <x:v>Users may interpret a demo review flag as diagnostic or treatment instruction.</x:v>
      </x:c>
      <x:c r="D21" s="14" t="str">
        <x:v>ANIHG-AI-002</x:v>
      </x:c>
      <x:c r="E21" s="14" t="str">
        <x:v>Deployment</x:v>
      </x:c>
      <x:c r="F21" s="14" t="str">
        <x:v>Public dashboard with probability outputs</x:v>
      </x:c>
      <x:c r="G21" s="14" t="str">
        <x:v>Clinical Safety Lead</x:v>
      </x:c>
      <x:c r="H21" s="14" t="n">
        <x:v>4</x:v>
      </x:c>
      <x:c r="I21" s="14" t="n">
        <x:v>5</x:v>
      </x:c>
      <x:c r="J21" s="14" t="n">
        <x:f>H21*I21</x:f>
        <x:v>20</x:v>
      </x:c>
      <x:c r="K21" s="14" t="str">
        <x:f>IF(J21&gt;=20,"Critical",IF(J21&gt;=12,"High",IF(J21&gt;=6,"Moderate","Low")))</x:f>
        <x:v>Critical</x:v>
      </x:c>
      <x:c r="L21" s="14" t="str">
        <x:v>Research/portfolio-only warnings; no treatment advice; fixed demos</x:v>
      </x:c>
      <x:c r="M21" s="14" t="n">
        <x:v>2</x:v>
      </x:c>
      <x:c r="N21" s="14" t="n">
        <x:v>5</x:v>
      </x:c>
      <x:c r="O21" s="14" t="n">
        <x:f>M21*N21</x:f>
        <x:v>10</x:v>
      </x:c>
      <x:c r="P21" s="14" t="str">
        <x:f>IF(O21&gt;=20,"Critical",IF(O21&gt;=12,"High",IF(O21&gt;=6,"Moderate","Low")))</x:f>
        <x:v>Moderate</x:v>
      </x:c>
      <x:c r="Q21" s="14" t="str">
        <x:v>Avoid</x:v>
      </x:c>
      <x:c r="R21" s="14" t="str">
        <x:v>Preserve disclaimers; no live patient input; establish oversight before clinical use</x:v>
      </x:c>
      <x:c r="S21" s="14" t="str">
        <x:v>Clinical Safety Lead</x:v>
      </x:c>
      <x:c r="T21" s="14" t="str">
        <x:v>Monitoring</x:v>
      </x:c>
      <x:c r="U21" s="14"/>
      <x:c r="V21" s="14"/>
      <x:c r="W21" s="14" t="str">
        <x:v>README; app safety notice</x:v>
      </x:c>
    </x:row>
    <x:row r="22" ht="64" customHeight="1">
      <x:c r="A22" s="14" t="str">
        <x:v>SEP-RISK-015</x:v>
      </x:c>
      <x:c r="B22" s="14" t="str">
        <x:v>Privacy &amp; Data Governance</x:v>
      </x:c>
      <x:c r="C22" s="14" t="str">
        <x:v>Published Train-derived trajectories may contain attributes creating residual disclosure risk despite relabeling.</x:v>
      </x:c>
      <x:c r="D22" s="14" t="str">
        <x:v>ANIHG-AI-002</x:v>
      </x:c>
      <x:c r="E22" s="14" t="str">
        <x:v>Deployment</x:v>
      </x:c>
      <x:c r="F22" s="14" t="str">
        <x:v>Two real Train-derived trajectories, not synthetic</x:v>
      </x:c>
      <x:c r="G22" s="14" t="str">
        <x:v>Data Protection Lead</x:v>
      </x:c>
      <x:c r="H22" s="14" t="n">
        <x:v>4</x:v>
      </x:c>
      <x:c r="I22" s="14" t="n">
        <x:v>4</x:v>
      </x:c>
      <x:c r="J22" s="14" t="n">
        <x:f>H22*I22</x:f>
        <x:v>16</x:v>
      </x:c>
      <x:c r="K22" s="14" t="str">
        <x:f>IF(J22&gt;=20,"Critical",IF(J22&gt;=12,"High",IF(J22&gt;=6,"Moderate","Low")))</x:f>
        <x:v>High</x:v>
      </x:c>
      <x:c r="L22" s="14" t="str">
        <x:v>PatientID replaced; original provenance excluded; dataset CC BY 4.0 attribution</x:v>
      </x:c>
      <x:c r="M22" s="14" t="n">
        <x:v>3</x:v>
      </x:c>
      <x:c r="N22" s="14" t="n">
        <x:v>4</x:v>
      </x:c>
      <x:c r="O22" s="14" t="n">
        <x:f>M22*N22</x:f>
        <x:v>12</x:v>
      </x:c>
      <x:c r="P22" s="14" t="str">
        <x:f>IF(O22&gt;=20,"Critical",IF(O22&gt;=12,"High",IF(O22&gt;=6,"Moderate","Low")))</x:f>
        <x:v>High</x:v>
      </x:c>
      <x:c r="Q22" s="14" t="str">
        <x:v>Mitigate</x:v>
      </x:c>
      <x:c r="R22" s="14" t="str">
        <x:v>Perform documented disclosure-risk/privacy review; minimize fields and revalidate publication</x:v>
      </x:c>
      <x:c r="S22" s="14" t="str">
        <x:v>Data Protection Lead</x:v>
      </x:c>
      <x:c r="T22" s="14" t="str">
        <x:v>Open</x:v>
      </x:c>
      <x:c r="U22" s="14"/>
      <x:c r="V22" s="14"/>
      <x:c r="W22" s="14" t="str">
        <x:v>README dataset attribution; demo manifest</x:v>
      </x:c>
    </x:row>
    <x:row r="23" ht="64" customHeight="1">
      <x:c r="A23" s="14" t="str">
        <x:v>SEP-RISK-016</x:v>
      </x:c>
      <x:c r="B23" s="14" t="str">
        <x:v>Cybersecurity</x:v>
      </x:c>
      <x:c r="C23" s="14" t="str">
        <x:v>Public hosting may permit service abuse or compromise affecting integrity and availability.</x:v>
      </x:c>
      <x:c r="D23" s="14" t="str">
        <x:v>ANIHG-AI-002</x:v>
      </x:c>
      <x:c r="E23" s="14" t="str">
        <x:v>Deployment</x:v>
      </x:c>
      <x:c r="F23" s="14" t="str">
        <x:v>Public Streamlit Community Cloud endpoint</x:v>
      </x:c>
      <x:c r="G23" s="14" t="str">
        <x:v>Security Lead</x:v>
      </x:c>
      <x:c r="H23" s="14" t="n">
        <x:v>4</x:v>
      </x:c>
      <x:c r="I23" s="14" t="n">
        <x:v>4</x:v>
      </x:c>
      <x:c r="J23" s="14" t="n">
        <x:f>H23*I23</x:f>
        <x:v>16</x:v>
      </x:c>
      <x:c r="K23" s="14" t="str">
        <x:f>IF(J23&gt;=20,"Critical",IF(J23&gt;=12,"High",IF(J23&gt;=6,"Moderate","Low")))</x:f>
        <x:v>High</x:v>
      </x:c>
      <x:c r="L23" s="14" t="str">
        <x:v>No secrets or EHR integration; fixed demo inputs</x:v>
      </x:c>
      <x:c r="M23" s="14" t="n">
        <x:v>3</x:v>
      </x:c>
      <x:c r="N23" s="14" t="n">
        <x:v>4</x:v>
      </x:c>
      <x:c r="O23" s="14" t="n">
        <x:f>M23*N23</x:f>
        <x:v>12</x:v>
      </x:c>
      <x:c r="P23" s="14" t="str">
        <x:f>IF(O23&gt;=20,"Critical",IF(O23&gt;=12,"High",IF(O23&gt;=6,"Moderate","Low")))</x:f>
        <x:v>High</x:v>
      </x:c>
      <x:c r="Q23" s="14" t="str">
        <x:v>Mitigate</x:v>
      </x:c>
      <x:c r="R23" s="14" t="str">
        <x:v>Review dependencies, access controls, logging and incident response</x:v>
      </x:c>
      <x:c r="S23" s="14" t="str">
        <x:v>Security Lead</x:v>
      </x:c>
      <x:c r="T23" s="14" t="str">
        <x:v>Open</x:v>
      </x:c>
      <x:c r="U23" s="14"/>
      <x:c r="V23" s="14"/>
      <x:c r="W23" s="14" t="str">
        <x:v>GitHub repository; deployment configuration</x:v>
      </x:c>
    </x:row>
    <x:row r="24" ht="64" customHeight="1">
      <x:c r="A24" s="14" t="str">
        <x:v>SEP-RISK-017</x:v>
      </x:c>
      <x:c r="B24" s="14" t="str">
        <x:v>Model Integrity</x:v>
      </x:c>
      <x:c r="C24" s="14" t="str">
        <x:v>Incorrect estimator, feature contract or threshold could invalidate model outputs.</x:v>
      </x:c>
      <x:c r="D24" s="14" t="str">
        <x:v>ANIHG-AI-002</x:v>
      </x:c>
      <x:c r="E24" s="14" t="str">
        <x:v>Deployment</x:v>
      </x:c>
      <x:c r="F24" s="14" t="str">
        <x:v>B03 estimator; 230 predictors; OP07 0.004</x:v>
      </x:c>
      <x:c r="G24" s="14" t="str">
        <x:v>ML Engineering Lead</x:v>
      </x:c>
      <x:c r="H24" s="14" t="n">
        <x:v>4</x:v>
      </x:c>
      <x:c r="I24" s="14" t="n">
        <x:v>5</x:v>
      </x:c>
      <x:c r="J24" s="14" t="n">
        <x:f>H24*I24</x:f>
        <x:v>20</x:v>
      </x:c>
      <x:c r="K24" s="14" t="str">
        <x:f>IF(J24&gt;=20,"Critical",IF(J24&gt;=12,"High",IF(J24&gt;=6,"Moderate","Low")))</x:f>
        <x:v>Critical</x:v>
      </x:c>
      <x:c r="L24" s="14" t="str">
        <x:v>SHA-256 model check; frozen registry; frozen threshold</x:v>
      </x:c>
      <x:c r="M24" s="14" t="n">
        <x:v>2</x:v>
      </x:c>
      <x:c r="N24" s="14" t="n">
        <x:v>5</x:v>
      </x:c>
      <x:c r="O24" s="14" t="n">
        <x:f>M24*N24</x:f>
        <x:v>10</x:v>
      </x:c>
      <x:c r="P24" s="14" t="str">
        <x:f>IF(O24&gt;=20,"Critical",IF(O24&gt;=12,"High",IF(O24&gt;=6,"Moderate","Low")))</x:f>
        <x:v>Moderate</x:v>
      </x:c>
      <x:c r="Q24" s="14" t="str">
        <x:v>Mitigate</x:v>
      </x:c>
      <x:c r="R24" s="14" t="str">
        <x:v>Add release verification, dependency locking and change-control approval</x:v>
      </x:c>
      <x:c r="S24" s="14" t="str">
        <x:v>ML Engineering Lead</x:v>
      </x:c>
      <x:c r="T24" s="14" t="str">
        <x:v>Monitoring</x:v>
      </x:c>
      <x:c r="U24" s="14"/>
      <x:c r="V24" s="14"/>
      <x:c r="W24" s="14" t="str">
        <x:v>Model Card §4; frozen model manifest</x:v>
      </x:c>
    </x:row>
    <x:row r="25" ht="64" customHeight="1">
      <x:c r="A25" s="14" t="str">
        <x:v>SEP-RISK-018</x:v>
      </x:c>
      <x:c r="B25" s="14" t="str">
        <x:v>Reproducibility</x:v>
      </x:c>
      <x:c r="C25" s="14" t="str">
        <x:v>Library updates or hosted runtime changes may break inference or change behavior.</x:v>
      </x:c>
      <x:c r="D25" s="14" t="str">
        <x:v>ANIHG-AI-002</x:v>
      </x:c>
      <x:c r="E25" s="14" t="str">
        <x:v>Deployment</x:v>
      </x:c>
      <x:c r="F25" s="14" t="str">
        <x:v>Python 3.13; pinned requirements; hosted app</x:v>
      </x:c>
      <x:c r="G25" s="14" t="str">
        <x:v>ML Engineering Lead</x:v>
      </x:c>
      <x:c r="H25" s="14" t="n">
        <x:v>4</x:v>
      </x:c>
      <x:c r="I25" s="14" t="n">
        <x:v>3</x:v>
      </x:c>
      <x:c r="J25" s="14" t="n">
        <x:f>H25*I25</x:f>
        <x:v>12</x:v>
      </x:c>
      <x:c r="K25" s="14" t="str">
        <x:f>IF(J25&gt;=20,"Critical",IF(J25&gt;=12,"High",IF(J25&gt;=6,"Moderate","Low")))</x:f>
        <x:v>High</x:v>
      </x:c>
      <x:c r="L25" s="14" t="str">
        <x:v>Pinned dependencies; public source; smoke-tested app</x:v>
      </x:c>
      <x:c r="M25" s="14" t="n">
        <x:v>3</x:v>
      </x:c>
      <x:c r="N25" s="14" t="n">
        <x:v>3</x:v>
      </x:c>
      <x:c r="O25" s="14" t="n">
        <x:f>M25*N25</x:f>
        <x:v>9</x:v>
      </x:c>
      <x:c r="P25" s="14" t="str">
        <x:f>IF(O25&gt;=20,"Critical",IF(O25&gt;=12,"High",IF(O25&gt;=6,"Moderate","Low")))</x:f>
        <x:v>Moderate</x:v>
      </x:c>
      <x:c r="Q25" s="14" t="str">
        <x:v>Mitigate</x:v>
      </x:c>
      <x:c r="R25" s="14" t="str">
        <x:v>Automate deployment smoke tests and checksum checks after changes</x:v>
      </x:c>
      <x:c r="S25" s="14" t="str">
        <x:v>ML Engineering Lead</x:v>
      </x:c>
      <x:c r="T25" s="14" t="str">
        <x:v>Monitoring</x:v>
      </x:c>
      <x:c r="U25" s="14"/>
      <x:c r="V25" s="14"/>
      <x:c r="W25" s="14" t="str">
        <x:v>requirements.txt; app.py</x:v>
      </x:c>
    </x:row>
    <x:row r="26" ht="64" customHeight="1">
      <x:c r="A26" s="14" t="str">
        <x:v>SEP-RISK-019</x:v>
      </x:c>
      <x:c r="B26" s="14" t="str">
        <x:v>Monitoring &amp; Drift</x:v>
      </x:c>
      <x:c r="C26" s="14" t="str">
        <x:v>Without validated drift and performance monitoring, degradation could go undetected if deployed.</x:v>
      </x:c>
      <x:c r="D26" s="14" t="str">
        <x:v>ANIHG-AI-002</x:v>
      </x:c>
      <x:c r="E26" s="14" t="str">
        <x:v>Monitoring</x:v>
      </x:c>
      <x:c r="F26" s="14" t="str">
        <x:v>No operational clinical monitoring</x:v>
      </x:c>
      <x:c r="G26" s="14" t="str">
        <x:v>MLOps Lead</x:v>
      </x:c>
      <x:c r="H26" s="14" t="n">
        <x:v>4</x:v>
      </x:c>
      <x:c r="I26" s="14" t="n">
        <x:v>5</x:v>
      </x:c>
      <x:c r="J26" s="14" t="n">
        <x:f>H26*I26</x:f>
        <x:v>20</x:v>
      </x:c>
      <x:c r="K26" s="14" t="str">
        <x:f>IF(J26&gt;=20,"Critical",IF(J26&gt;=12,"High",IF(J26&gt;=6,"Moderate","Low")))</x:f>
        <x:v>Critical</x:v>
      </x:c>
      <x:c r="L26" s="14" t="str">
        <x:v>NO-GO; monitoring design described</x:v>
      </x:c>
      <x:c r="M26" s="14" t="n">
        <x:v>3</x:v>
      </x:c>
      <x:c r="N26" s="14" t="n">
        <x:v>5</x:v>
      </x:c>
      <x:c r="O26" s="14" t="n">
        <x:f>M26*N26</x:f>
        <x:v>15</x:v>
      </x:c>
      <x:c r="P26" s="14" t="str">
        <x:f>IF(O26&gt;=20,"Critical",IF(O26&gt;=12,"High",IF(O26&gt;=6,"Moderate","Low")))</x:f>
        <x:v>High</x:v>
      </x:c>
      <x:c r="Q26" s="14" t="str">
        <x:v>Avoid</x:v>
      </x:c>
      <x:c r="R26" s="14" t="str">
        <x:v>Implement and validate drift, safety, alert burden and stop conditions before clinical use</x:v>
      </x:c>
      <x:c r="S26" s="14" t="str">
        <x:v>MLOps Lead</x:v>
      </x:c>
      <x:c r="T26" s="14" t="str">
        <x:v>Open</x:v>
      </x:c>
      <x:c r="U26" s="14"/>
      <x:c r="V26" s="14"/>
      <x:c r="W26" s="14" t="str">
        <x:v>Governance readiness; evaluation report</x:v>
      </x:c>
    </x:row>
    <x:row r="27" ht="64" customHeight="1">
      <x:c r="A27" s="14" t="str">
        <x:v>SEP-RISK-020</x:v>
      </x:c>
      <x:c r="B27" s="14" t="str">
        <x:v>Clinical Effectiveness</x:v>
      </x:c>
      <x:c r="C27" s="14" t="str">
        <x:v>Retrospective discrimination may be mistaken for reduced sepsis morbidity or mortality.</x:v>
      </x:c>
      <x:c r="D27" s="14" t="str">
        <x:v>ANIHG-AI-002</x:v>
      </x:c>
      <x:c r="E27" s="14" t="str">
        <x:v>Validation</x:v>
      </x:c>
      <x:c r="F27" s="14" t="str">
        <x:v>No prospective outcomes or clinical utility evidence</x:v>
      </x:c>
      <x:c r="G27" s="14" t="str">
        <x:v>Clinical Evaluation Lead</x:v>
      </x:c>
      <x:c r="H27" s="14" t="n">
        <x:v>4</x:v>
      </x:c>
      <x:c r="I27" s="14" t="n">
        <x:v>5</x:v>
      </x:c>
      <x:c r="J27" s="14" t="n">
        <x:f>H27*I27</x:f>
        <x:v>20</x:v>
      </x:c>
      <x:c r="K27" s="14" t="str">
        <x:f>IF(J27&gt;=20,"Critical",IF(J27&gt;=12,"High",IF(J27&gt;=6,"Moderate","Low")))</x:f>
        <x:v>Critical</x:v>
      </x:c>
      <x:c r="L27" s="14" t="str">
        <x:v>No effectiveness claims; clinical-use prohibition</x:v>
      </x:c>
      <x:c r="M27" s="14" t="n">
        <x:v>2</x:v>
      </x:c>
      <x:c r="N27" s="14" t="n">
        <x:v>5</x:v>
      </x:c>
      <x:c r="O27" s="14" t="n">
        <x:f>M27*N27</x:f>
        <x:v>10</x:v>
      </x:c>
      <x:c r="P27" s="14" t="str">
        <x:f>IF(O27&gt;=20,"Critical",IF(O27&gt;=12,"High",IF(O27&gt;=6,"Moderate","Low")))</x:f>
        <x:v>Moderate</x:v>
      </x:c>
      <x:c r="Q27" s="14" t="str">
        <x:v>Avoid</x:v>
      </x:c>
      <x:c r="R27" s="14" t="str">
        <x:v>Conduct prospective clinical-effectiveness evaluation after prerequisites</x:v>
      </x:c>
      <x:c r="S27" s="14" t="str">
        <x:v>Clinical Evaluation Lead</x:v>
      </x:c>
      <x:c r="T27" s="14" t="str">
        <x:v>Open</x:v>
      </x:c>
      <x:c r="U27" s="14"/>
      <x:c r="V27" s="14"/>
      <x:c r="W27" s="14" t="str">
        <x:v>Evaluation Report §7–9</x:v>
      </x:c>
    </x:row>
    <x:row r="28" ht="64" customHeight="1">
      <x:c r="A28" s="14" t="str">
        <x:v>SEP-RISK-021</x:v>
      </x:c>
      <x:c r="B28" s="14" t="str">
        <x:v>Regulatory &amp; Governance</x:v>
      </x:c>
      <x:c r="C28" s="14" t="str">
        <x:v>Public deployment may be misread as regulatory or institutional approval.</x:v>
      </x:c>
      <x:c r="D28" s="14" t="str">
        <x:v>ANIHG-AI-002</x:v>
      </x:c>
      <x:c r="E28" s="14" t="str">
        <x:v>Deployment</x:v>
      </x:c>
      <x:c r="F28" s="14" t="str">
        <x:v>Live Streamlit app; no institutional approval</x:v>
      </x:c>
      <x:c r="G28" s="14" t="str">
        <x:v>AI Governance Lead</x:v>
      </x:c>
      <x:c r="H28" s="14" t="n">
        <x:v>4</x:v>
      </x:c>
      <x:c r="I28" s="14" t="n">
        <x:v>5</x:v>
      </x:c>
      <x:c r="J28" s="14" t="n">
        <x:f>H28*I28</x:f>
        <x:v>20</x:v>
      </x:c>
      <x:c r="K28" s="14" t="str">
        <x:f>IF(J28&gt;=20,"Critical",IF(J28&gt;=12,"High",IF(J28&gt;=6,"Moderate","Low")))</x:f>
        <x:v>Critical</x:v>
      </x:c>
      <x:c r="L28" s="14" t="str">
        <x:v>NO-GO notices; deployment scope explicitly separated</x:v>
      </x:c>
      <x:c r="M28" s="14" t="n">
        <x:v>2</x:v>
      </x:c>
      <x:c r="N28" s="14" t="n">
        <x:v>5</x:v>
      </x:c>
      <x:c r="O28" s="14" t="n">
        <x:f>M28*N28</x:f>
        <x:v>10</x:v>
      </x:c>
      <x:c r="P28" s="14" t="str">
        <x:f>IF(O28&gt;=20,"Critical",IF(O28&gt;=12,"High",IF(O28&gt;=6,"Moderate","Low")))</x:f>
        <x:v>Moderate</x:v>
      </x:c>
      <x:c r="Q28" s="14" t="str">
        <x:v>Avoid</x:v>
      </x:c>
      <x:c r="R28" s="14" t="str">
        <x:v>Require documented regulatory classification and institutional clinical authorization</x:v>
      </x:c>
      <x:c r="S28" s="14" t="str">
        <x:v>AI Governance Lead</x:v>
      </x:c>
      <x:c r="T28" s="14" t="str">
        <x:v>Escalated</x:v>
      </x:c>
      <x:c r="U28" s="14"/>
      <x:c r="V28" s="14"/>
      <x:c r="W28" s="14" t="str">
        <x:v>README; Model Card; Evaluation Report</x:v>
      </x:c>
    </x:row>
    <x:row r="29" ht="64" customHeight="1">
      <x:c r="A29" s="14" t="str">
        <x:v>SEP-RISK-022</x:v>
      </x:c>
      <x:c r="B29" s="14" t="str">
        <x:v>Data Governance</x:v>
      </x:c>
      <x:c r="C29" s="14" t="str">
        <x:v>Omission of required source credit or modification disclosures may breach dataset terms.</x:v>
      </x:c>
      <x:c r="D29" s="14" t="str">
        <x:v>ANIHG-AI-002</x:v>
      </x:c>
      <x:c r="E29" s="14" t="str">
        <x:v>Deployment</x:v>
      </x:c>
      <x:c r="F29" s="14" t="str">
        <x:v>PhysioNet Challenge 2019 CC BY 4.0</x:v>
      </x:c>
      <x:c r="G29" s="14" t="str">
        <x:v>Data Governance Lead</x:v>
      </x:c>
      <x:c r="H29" s="14" t="n">
        <x:v>3</x:v>
      </x:c>
      <x:c r="I29" s="14" t="n">
        <x:v>3</x:v>
      </x:c>
      <x:c r="J29" s="14" t="n">
        <x:f>H29*I29</x:f>
        <x:v>9</x:v>
      </x:c>
      <x:c r="K29" s="14" t="str">
        <x:f>IF(J29&gt;=20,"Critical",IF(J29&gt;=12,"High",IF(J29&gt;=6,"Moderate","Low")))</x:f>
        <x:v>Moderate</x:v>
      </x:c>
      <x:c r="L29" s="14" t="str">
        <x:v>README attribution and license link</x:v>
      </x:c>
      <x:c r="M29" s="14" t="n">
        <x:v>2</x:v>
      </x:c>
      <x:c r="N29" s="14" t="n">
        <x:v>3</x:v>
      </x:c>
      <x:c r="O29" s="14" t="n">
        <x:f>M29*N29</x:f>
        <x:v>6</x:v>
      </x:c>
      <x:c r="P29" s="14" t="str">
        <x:f>IF(O29&gt;=20,"Critical",IF(O29&gt;=12,"High",IF(O29&gt;=6,"Moderate","Low")))</x:f>
        <x:v>Moderate</x:v>
      </x:c>
      <x:c r="Q29" s="14" t="str">
        <x:v>Mitigate</x:v>
      </x:c>
      <x:c r="R29" s="14" t="str">
        <x:v>Periodically review attribution and license notices after releases</x:v>
      </x:c>
      <x:c r="S29" s="14" t="str">
        <x:v>Data Governance Lead</x:v>
      </x:c>
      <x:c r="T29" s="14" t="str">
        <x:v>Monitoring</x:v>
      </x:c>
      <x:c r="U29" s="14"/>
      <x:c r="V29" s="14"/>
      <x:c r="W29" s="14" t="str">
        <x:v>README dataset licensing</x:v>
      </x:c>
    </x:row>
    <x:row r="30" ht="64" customHeight="1">
      <x:c r="A30" s="14" t="str">
        <x:v>SEP-RISK-023</x:v>
      </x:c>
      <x:c r="B30" s="14" t="str">
        <x:v>Clinical Workflow</x:v>
      </x:c>
      <x:c r="C30" s="14" t="str">
        <x:v>An above-threshold flag has no institutionally tested response or override protocol.</x:v>
      </x:c>
      <x:c r="D30" s="14" t="str">
        <x:v>ANIHG-AI-002</x:v>
      </x:c>
      <x:c r="E30" s="14" t="str">
        <x:v>Deployment</x:v>
      </x:c>
      <x:c r="F30" s="14" t="str">
        <x:v>No live EHR or clinician workflow</x:v>
      </x:c>
      <x:c r="G30" s="14" t="str">
        <x:v>Clinical Operations Lead</x:v>
      </x:c>
      <x:c r="H30" s="14" t="n">
        <x:v>4</x:v>
      </x:c>
      <x:c r="I30" s="14" t="n">
        <x:v>5</x:v>
      </x:c>
      <x:c r="J30" s="14" t="n">
        <x:f>H30*I30</x:f>
        <x:v>20</x:v>
      </x:c>
      <x:c r="K30" s="14" t="str">
        <x:f>IF(J30&gt;=20,"Critical",IF(J30&gt;=12,"High",IF(J30&gt;=6,"Moderate","Low")))</x:f>
        <x:v>Critical</x:v>
      </x:c>
      <x:c r="L30" s="14" t="str">
        <x:v>No real clinical integration; illustrative workflow only</x:v>
      </x:c>
      <x:c r="M30" s="14" t="n">
        <x:v>3</x:v>
      </x:c>
      <x:c r="N30" s="14" t="n">
        <x:v>5</x:v>
      </x:c>
      <x:c r="O30" s="14" t="n">
        <x:f>M30*N30</x:f>
        <x:v>15</x:v>
      </x:c>
      <x:c r="P30" s="14" t="str">
        <x:f>IF(O30&gt;=20,"Critical",IF(O30&gt;=12,"High",IF(O30&gt;=6,"Moderate","Low")))</x:f>
        <x:v>High</x:v>
      </x:c>
      <x:c r="Q30" s="14" t="str">
        <x:v>Avoid</x:v>
      </x:c>
      <x:c r="R30" s="14" t="str">
        <x:v>Define clinical escalation, accountability, override and training in prospective protocol</x:v>
      </x:c>
      <x:c r="S30" s="14" t="str">
        <x:v>Clinical Operations Lead</x:v>
      </x:c>
      <x:c r="T30" s="14" t="str">
        <x:v>Open</x:v>
      </x:c>
      <x:c r="U30" s="14"/>
      <x:c r="V30" s="14"/>
      <x:c r="W30" s="14" t="str">
        <x:v>Workflow &amp; Implementation Readiness module</x:v>
      </x:c>
    </x:row>
    <x:row r="31" ht="64" customHeight="1">
      <x:c r="A31" s="14" t="str">
        <x:v>SEP-RISK-024</x:v>
      </x:c>
      <x:c r="B31" s="14" t="str">
        <x:v>Change Management</x:v>
      </x:c>
      <x:c r="C31" s="14" t="str">
        <x:v>Changes after Test closure may invalidate reported evidence or create misleading claims.</x:v>
      </x:c>
      <x:c r="D31" s="14" t="str">
        <x:v>ANIHG-AI-002</x:v>
      </x:c>
      <x:c r="E31" s="14" t="str">
        <x:v>Development</x:v>
      </x:c>
      <x:c r="F31" s="14" t="str">
        <x:v>Closed Test; OP07 frozen</x:v>
      </x:c>
      <x:c r="G31" s="14" t="str">
        <x:v>Model Owner</x:v>
      </x:c>
      <x:c r="H31" s="14" t="n">
        <x:v>4</x:v>
      </x:c>
      <x:c r="I31" s="14" t="n">
        <x:v>4</x:v>
      </x:c>
      <x:c r="J31" s="14" t="n">
        <x:f>H31*I31</x:f>
        <x:v>16</x:v>
      </x:c>
      <x:c r="K31" s="14" t="str">
        <x:f>IF(J31&gt;=20,"Critical",IF(J31&gt;=12,"High",IF(J31&gt;=6,"Moderate","Low")))</x:f>
        <x:v>High</x:v>
      </x:c>
      <x:c r="L31" s="14" t="str">
        <x:v>Frozen estimator and threshold; Git version history</x:v>
      </x:c>
      <x:c r="M31" s="14" t="n">
        <x:v>2</x:v>
      </x:c>
      <x:c r="N31" s="14" t="n">
        <x:v>4</x:v>
      </x:c>
      <x:c r="O31" s="14" t="n">
        <x:f>M31*N31</x:f>
        <x:v>8</x:v>
      </x:c>
      <x:c r="P31" s="14" t="str">
        <x:f>IF(O31&gt;=20,"Critical",IF(O31&gt;=12,"High",IF(O31&gt;=6,"Moderate","Low")))</x:f>
        <x:v>Moderate</x:v>
      </x:c>
      <x:c r="Q31" s="14" t="str">
        <x:v>Mitigate</x:v>
      </x:c>
      <x:c r="R31" s="14" t="str">
        <x:v>Enforce change approval, new version IDs and separate validation evidence</x:v>
      </x:c>
      <x:c r="S31" s="14" t="str">
        <x:v>Model Owner</x:v>
      </x:c>
      <x:c r="T31" s="14" t="str">
        <x:v>Monitoring</x:v>
      </x:c>
      <x:c r="U31" s="14"/>
      <x:c r="V31" s="14"/>
      <x:c r="W31" s="14" t="str">
        <x:v>GitHub; Model Card; Evaluation Report</x:v>
      </x:c>
    </x:row>
  </x:sheetData>
  <x:mergeCells>
    <x:mergeCell ref="A1:W1"/>
    <x:mergeCell ref="A2:W2"/>
  </x:mergeCells>
  <x:conditionalFormatting sqref="J8:J31">
    <x:cfRule type="colorScale" priority="1">
      <x:colorScale>
        <x:cfvo type="min"/>
        <x:cfvo type="percentile" val="50"/>
        <x:cfvo type="max"/>
        <x:color rgb="FFD9F0E2"/>
        <x:color rgb="FFFFF0C2"/>
        <x:color rgb="FFF9CCCC"/>
      </x:colorScale>
    </x:cfRule>
  </x:conditionalFormatting>
  <x:conditionalFormatting sqref="O8:O31">
    <x:cfRule type="colorScale" priority="2">
      <x:colorScale>
        <x:cfvo type="min"/>
        <x:cfvo type="percentile" val="50"/>
        <x:cfvo type="max"/>
        <x:color rgb="FFD9F0E2"/>
        <x:color rgb="FFFFF0C2"/>
        <x:color rgb="FFF9CCCC"/>
      </x:colorScale>
    </x:cfRule>
  </x:conditionalFormatting>
  <x:dataValidations count="2">
    <x:dataValidation type="list" sqref="Q8:Q100">
      <x:formula1>"Mitigate,Avoid,Transfer,Accept"</x:formula1>
    </x:dataValidation>
    <x:dataValidation type="list" sqref="T8:T100">
      <x:formula1>"Open,Treatment in Progress,Monitoring,Escalated,Accepted,Closed"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16" t="str">
        <x:v>ANIHG 5×5 AI RISK MATRIX — SEPSISIQ V2</x:v>
      </x:c>
      <x:c r="B1" s="16"/>
      <x:c r="C1" s="16"/>
      <x:c r="D1" s="16"/>
      <x:c r="E1" s="16"/>
      <x:c r="F1" s="16"/>
      <x:c r="G1" s="16"/>
    </x:row>
    <x:row r="3" ht="28" customHeight="1">
      <x:c r="A3" s="10" t="str">
        <x:v>Likelihood</x:v>
      </x:c>
      <x:c r="B3" s="10" t="str">
        <x:v>Definition</x:v>
      </x:c>
      <x:c r="C3" s="10"/>
      <x:c r="D3" s="10" t="str">
        <x:v>Impact</x:v>
      </x:c>
      <x:c r="E3" s="10" t="str">
        <x:v>Definition</x:v>
      </x:c>
    </x:row>
    <x:row r="4">
      <x:c r="A4" t="n">
        <x:v>1</x:v>
      </x:c>
      <x:c r="B4" t="str">
        <x:v>Rare</x:v>
      </x:c>
      <x:c r="C4"/>
      <x:c r="D4" t="n">
        <x:v>1</x:v>
      </x:c>
      <x:c r="E4" t="str">
        <x:v>Insignificant</x:v>
      </x:c>
    </x:row>
    <x:row r="5">
      <x:c r="A5" t="n">
        <x:v>2</x:v>
      </x:c>
      <x:c r="B5" t="str">
        <x:v>Unlikely</x:v>
      </x:c>
      <x:c r="C5"/>
      <x:c r="D5" t="n">
        <x:v>2</x:v>
      </x:c>
      <x:c r="E5" t="str">
        <x:v>Minor</x:v>
      </x:c>
    </x:row>
    <x:row r="6">
      <x:c r="A6" t="n">
        <x:v>3</x:v>
      </x:c>
      <x:c r="B6" t="str">
        <x:v>Possible</x:v>
      </x:c>
      <x:c r="C6"/>
      <x:c r="D6" t="n">
        <x:v>3</x:v>
      </x:c>
      <x:c r="E6" t="str">
        <x:v>Moderate</x:v>
      </x:c>
    </x:row>
    <x:row r="7">
      <x:c r="A7" t="n">
        <x:v>4</x:v>
      </x:c>
      <x:c r="B7" t="str">
        <x:v>Likely</x:v>
      </x:c>
      <x:c r="C7"/>
      <x:c r="D7" t="n">
        <x:v>4</x:v>
      </x:c>
      <x:c r="E7" t="str">
        <x:v>Major</x:v>
      </x:c>
    </x:row>
    <x:row r="8">
      <x:c r="A8" t="n">
        <x:v>5</x:v>
      </x:c>
      <x:c r="B8" t="str">
        <x:v>Almost Certain</x:v>
      </x:c>
      <x:c r="C8"/>
      <x:c r="D8" t="n">
        <x:v>5</x:v>
      </x:c>
      <x:c r="E8" t="str">
        <x:v>Severe / Critical</x:v>
      </x:c>
    </x:row>
    <x:row r="11" ht="28" customHeight="1">
      <x:c r="A11" s="10" t="str">
        <x:v>Score Range</x:v>
      </x:c>
      <x:c r="B11" s="10" t="str">
        <x:v>Risk Rating</x:v>
      </x:c>
      <x:c r="C11" s="10" t="str">
        <x:v>Response</x:v>
      </x:c>
    </x:row>
    <x:row r="12">
      <x:c r="A12" t="str">
        <x:v>1–5</x:v>
      </x:c>
      <x:c r="B12" t="str">
        <x:v>Low</x:v>
      </x:c>
      <x:c r="C12" t="str">
        <x:v>Manage through routine controls</x:v>
      </x:c>
    </x:row>
    <x:row r="13">
      <x:c r="A13" t="str">
        <x:v>6–11</x:v>
      </x:c>
      <x:c r="B13" t="str">
        <x:v>Moderate</x:v>
      </x:c>
      <x:c r="C13" t="str">
        <x:v>Treat and review</x:v>
      </x:c>
    </x:row>
    <x:row r="14">
      <x:c r="A14" t="str">
        <x:v>12–19</x:v>
      </x:c>
      <x:c r="B14" t="str">
        <x:v>High</x:v>
      </x:c>
      <x:c r="C14" t="str">
        <x:v>Escalate and mitigate</x:v>
      </x:c>
    </x:row>
    <x:row r="15">
      <x:c r="A15" t="str">
        <x:v>20–25</x:v>
      </x:c>
      <x:c r="B15" t="str">
        <x:v>Critical</x:v>
      </x:c>
      <x:c r="C15" t="str">
        <x:v>Immediate escalation; no acceptance without authority</x:v>
      </x:c>
    </x:row>
    <x:row r="16">
      <x:c r="A16" t="str">
        <x:v>All</x:v>
      </x:c>
      <x:c r="B16" t="str">
        <x:v>Provisional</x:v>
      </x:c>
      <x:c r="C16" t="str">
        <x:v>Scores require authorized owner review</x:v>
      </x:c>
    </x:row>
    <x:row r="19" ht="28" customHeight="1">
      <x:c r="A19" s="10" t="str">
        <x:v>Likelihood × Impact</x:v>
      </x:c>
      <x:c r="B19" s="10" t="str">
        <x:v>Impact 1</x:v>
      </x:c>
      <x:c r="C19" s="10" t="str">
        <x:v>Impact 2</x:v>
      </x:c>
      <x:c r="D19" s="10" t="str">
        <x:v>Impact 3</x:v>
      </x:c>
      <x:c r="E19" s="10" t="str">
        <x:v>Impact 4</x:v>
      </x:c>
      <x:c r="F19" s="10" t="str">
        <x:v>Impact 5</x:v>
      </x:c>
    </x:row>
    <x:row r="20">
      <x:c r="A20" t="n">
        <x:v>1</x:v>
      </x:c>
      <x:c r="B20" t="n">
        <x:f>$A20*1</x:f>
        <x:v>1</x:v>
      </x:c>
      <x:c r="C20" t="n">
        <x:f>$A20*2</x:f>
        <x:v>2</x:v>
      </x:c>
      <x:c r="D20" t="n">
        <x:f>$A20*3</x:f>
        <x:v>3</x:v>
      </x:c>
      <x:c r="E20" t="n">
        <x:f>$A20*4</x:f>
        <x:v>4</x:v>
      </x:c>
      <x:c r="F20" t="n">
        <x:f>$A20*5</x:f>
        <x:v>5</x:v>
      </x:c>
    </x:row>
    <x:row r="21">
      <x:c r="A21" t="n">
        <x:v>2</x:v>
      </x:c>
      <x:c r="B21" t="n">
        <x:f>$A21*1</x:f>
        <x:v>2</x:v>
      </x:c>
      <x:c r="C21" t="n">
        <x:f>$A21*2</x:f>
        <x:v>4</x:v>
      </x:c>
      <x:c r="D21" t="n">
        <x:f>$A21*3</x:f>
        <x:v>6</x:v>
      </x:c>
      <x:c r="E21" t="n">
        <x:f>$A21*4</x:f>
        <x:v>8</x:v>
      </x:c>
      <x:c r="F21" t="n">
        <x:f>$A21*5</x:f>
        <x:v>10</x:v>
      </x:c>
    </x:row>
    <x:row r="22">
      <x:c r="A22" t="n">
        <x:v>3</x:v>
      </x:c>
      <x:c r="B22" t="n">
        <x:f>$A22*1</x:f>
        <x:v>3</x:v>
      </x:c>
      <x:c r="C22" t="n">
        <x:f>$A22*2</x:f>
        <x:v>6</x:v>
      </x:c>
      <x:c r="D22" t="n">
        <x:f>$A22*3</x:f>
        <x:v>9</x:v>
      </x:c>
      <x:c r="E22" t="n">
        <x:f>$A22*4</x:f>
        <x:v>12</x:v>
      </x:c>
      <x:c r="F22" t="n">
        <x:f>$A22*5</x:f>
        <x:v>15</x:v>
      </x:c>
    </x:row>
    <x:row r="23">
      <x:c r="A23" t="n">
        <x:v>4</x:v>
      </x:c>
      <x:c r="B23" t="n">
        <x:f>$A23*1</x:f>
        <x:v>4</x:v>
      </x:c>
      <x:c r="C23" t="n">
        <x:f>$A23*2</x:f>
        <x:v>8</x:v>
      </x:c>
      <x:c r="D23" t="n">
        <x:f>$A23*3</x:f>
        <x:v>12</x:v>
      </x:c>
      <x:c r="E23" t="n">
        <x:f>$A23*4</x:f>
        <x:v>16</x:v>
      </x:c>
      <x:c r="F23" t="n">
        <x:f>$A23*5</x:f>
        <x:v>20</x:v>
      </x:c>
    </x:row>
    <x:row r="24">
      <x:c r="A24" t="n">
        <x:v>5</x:v>
      </x:c>
      <x:c r="B24" t="n">
        <x:f>$A24*1</x:f>
        <x:v>5</x:v>
      </x:c>
      <x:c r="C24" t="n">
        <x:f>$A24*2</x:f>
        <x:v>10</x:v>
      </x:c>
      <x:c r="D24" t="n">
        <x:f>$A24*3</x:f>
        <x:v>15</x:v>
      </x:c>
      <x:c r="E24" t="n">
        <x:f>$A24*4</x:f>
        <x:v>20</x:v>
      </x:c>
      <x:c r="F24" t="n">
        <x:f>$A24*5</x:f>
        <x:v>25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5" hidden="0" customWidth="1"/>
    <x:col min="4" max="4" width="76" hidden="0" customWidth="1"/>
    <x:col min="5" max="5" width="19" hidden="0" customWidth="1"/>
    <x:col min="6" max="6" width="58" hidden="0" customWidth="1"/>
    <x:col min="7" max="7" width="29" hidden="0" customWidth="1"/>
  </x:cols>
  <x:sheetData>
    <x:row r="1" ht="32" customHeight="1">
      <x:c r="A1" s="16" t="str">
        <x:v>ANIHG AI RISK LIBRARY — SEPSISIQ V2</x:v>
      </x:c>
      <x:c r="B1" s="16"/>
      <x:c r="C1" s="16"/>
      <x:c r="D1" s="16"/>
      <x:c r="E1" s="16"/>
      <x:c r="F1" s="16"/>
      <x:c r="G1" s="16"/>
    </x:row>
    <x:row r="2">
      <x:c r="A2" t="str">
        <x:v>Reference index of the 24 active SepsisIQ V2 risk statements; not additional findings.</x:v>
      </x:c>
    </x:row>
    <x:row r="4" ht="30" customHeight="1">
      <x:c r="A4" s="10" t="str">
        <x:v>Library ID</x:v>
      </x:c>
      <x:c r="B4" s="10" t="str">
        <x:v>Risk Category</x:v>
      </x:c>
      <x:c r="C4" s="10" t="str">
        <x:v>Risk Theme</x:v>
      </x:c>
      <x:c r="D4" s="10" t="str">
        <x:v>Generic Risk Description</x:v>
      </x:c>
      <x:c r="E4" s="10" t="str">
        <x:v>Lifecycle Stage</x:v>
      </x:c>
      <x:c r="F4" s="10" t="str">
        <x:v>Evidence / Trigger</x:v>
      </x:c>
      <x:c r="G4" s="10" t="str">
        <x:v>Applicability</x:v>
      </x:c>
    </x:row>
    <x:row r="5" ht="55" customHeight="1">
      <x:c r="A5" s="14" t="str">
        <x:v>LIB-SEP-001</x:v>
      </x:c>
      <x:c r="B5" s="14" t="str">
        <x:v>Clinical Safety</x:v>
      </x:c>
      <x:c r="C5" s="14" t="str">
        <x:v>Missed positive observations</x:v>
      </x:c>
      <x:c r="D5" s="14" t="str">
        <x:v>At OP07, sensitivity of 48.41% leaves positive patient-hour observations unflagged, potentially creating false reassurance.</x:v>
      </x:c>
      <x:c r="E5" s="14" t="str">
        <x:v>Validation</x:v>
      </x:c>
      <x:c r="F5" s="14" t="str">
        <x:v>Sensitivity 48.41%</x:v>
      </x:c>
      <x:c r="G5" s="14" t="str">
        <x:v>Active — ANIHG-AI-002</x:v>
      </x:c>
    </x:row>
    <x:row r="6" ht="55" customHeight="1">
      <x:c r="A6" s="14" t="str">
        <x:v>LIB-SEP-002</x:v>
      </x:c>
      <x:c r="B6" s="14" t="str">
        <x:v>Clinical Safety</x:v>
      </x:c>
      <x:c r="C6" s="14" t="str">
        <x:v>Low alert precision</x:v>
      </x:c>
      <x:c r="D6" s="14" t="str">
        <x:v>At OP07, PPV 1.12% may result in substantial non-actionable reviews and alert fatigue.</x:v>
      </x:c>
      <x:c r="E6" s="14" t="str">
        <x:v>Validation</x:v>
      </x:c>
      <x:c r="F6" s="14" t="str">
        <x:v>PPV 1.12%; PR-AUC 0.012340</x:v>
      </x:c>
      <x:c r="G6" s="14" t="str">
        <x:v>Active — ANIHG-AI-002</x:v>
      </x:c>
    </x:row>
    <x:row r="7" ht="55" customHeight="1">
      <x:c r="A7" s="14" t="str">
        <x:v>LIB-SEP-003</x:v>
      </x:c>
      <x:c r="B7" s="14" t="str">
        <x:v>Workflow &amp; Adoption</x:v>
      </x:c>
      <x:c r="C7" s="14" t="str">
        <x:v>Excessive patient-level alert exposure</x:v>
      </x:c>
      <x:c r="D7" s="14" t="str">
        <x:v>At least one flag in 69.00% of Test patients may overload clinical teams if adopted.</x:v>
      </x:c>
      <x:c r="E7" s="14" t="str">
        <x:v>Deployment</x:v>
      </x:c>
      <x:c r="F7" s="14" t="str">
        <x:v>69.00% patients flagged</x:v>
      </x:c>
      <x:c r="G7" s="14" t="str">
        <x:v>Active — ANIHG-AI-002</x:v>
      </x:c>
    </x:row>
    <x:row r="8" ht="55" customHeight="1">
      <x:c r="A8" s="14" t="str">
        <x:v>LIB-SEP-004</x:v>
      </x:c>
      <x:c r="B8" s="14" t="str">
        <x:v>Temporal Stability</x:v>
      </x:c>
      <x:c r="C8" s="14" t="str">
        <x:v>Intermediate-history detection failure</x:v>
      </x:c>
      <x:c r="D8" s="14" t="str">
        <x:v>Sensitivity of 10.42–12.20% in several observation-history bands may miss deterioration.</x:v>
      </x:c>
      <x:c r="E8" s="14" t="str">
        <x:v>Validation</x:v>
      </x:c>
      <x:c r="F8" s="14" t="str">
        <x:v>1–5h 12.20%; 6–11h 10.42%; 12–23h 11.67%</x:v>
      </x:c>
      <x:c r="G8" s="14" t="str">
        <x:v>Active — ANIHG-AI-002</x:v>
      </x:c>
    </x:row>
    <x:row r="9" ht="55" customHeight="1">
      <x:c r="A9" s="14" t="str">
        <x:v>LIB-SEP-005</x:v>
      </x:c>
      <x:c r="B9" s="14" t="str">
        <x:v>Temporal Stability</x:v>
      </x:c>
      <x:c r="C9" s="14" t="str">
        <x:v>Zero-hour false alerts</x:v>
      </x:c>
      <x:c r="D9" s="14" t="str">
        <x:v>A 74.19% zero-hour FPR may generate unreliable early observation alerts.</x:v>
      </x:c>
      <x:c r="E9" s="14" t="str">
        <x:v>Validation</x:v>
      </x:c>
      <x:c r="F9" s="14" t="str">
        <x:v>Zero-hour FPR 74.19%</x:v>
      </x:c>
      <x:c r="G9" s="14" t="str">
        <x:v>Active — ANIHG-AI-002</x:v>
      </x:c>
    </x:row>
    <x:row r="10" ht="55" customHeight="1">
      <x:c r="A10" s="14" t="str">
        <x:v>LIB-SEP-006</x:v>
      </x:c>
      <x:c r="B10" s="14" t="str">
        <x:v>Model Performance</x:v>
      </x:c>
      <x:c r="C10" s="14" t="str">
        <x:v>Rare-event prediction limitations</x:v>
      </x:c>
      <x:c r="D10" s="14" t="str">
        <x:v>Positive target prevalence of 0.192% may make aggregate discrimination misleading and degrade clinical utility.</x:v>
      </x:c>
      <x:c r="E10" s="14" t="str">
        <x:v>Validation</x:v>
      </x:c>
      <x:c r="F10" s="14" t="str">
        <x:v>PR-AUC 0.012340; prevalence 0.192%</x:v>
      </x:c>
      <x:c r="G10" s="14" t="str">
        <x:v>Active — ANIHG-AI-002</x:v>
      </x:c>
    </x:row>
    <x:row r="11" ht="55" customHeight="1">
      <x:c r="A11" s="14" t="str">
        <x:v>LIB-SEP-007</x:v>
      </x:c>
      <x:c r="B11" s="14" t="str">
        <x:v>Calibration</x:v>
      </x:c>
      <x:c r="C11" s="14" t="str">
        <x:v>Unverified subgroup calibration</x:v>
      </x:c>
      <x:c r="D11" s="14" t="str">
        <x:v>Overall Brier 0.001914 does not establish calibrated probabilities across time and patient groups.</x:v>
      </x:c>
      <x:c r="E11" s="14" t="str">
        <x:v>Validation</x:v>
      </x:c>
      <x:c r="F11" s="14" t="str">
        <x:v>Brier 0.001914; subgroup calibration not established</x:v>
      </x:c>
      <x:c r="G11" s="14" t="str">
        <x:v>Active — ANIHG-AI-002</x:v>
      </x:c>
    </x:row>
    <x:row r="12" ht="55" customHeight="1">
      <x:c r="A12" s="14" t="str">
        <x:v>LIB-SEP-008</x:v>
      </x:c>
      <x:c r="B12" s="14" t="str">
        <x:v>Generalizability / Transportability</x:v>
      </x:c>
      <x:c r="C12" s="14" t="str">
        <x:v>Unproven external performance</x:v>
      </x:c>
      <x:c r="D12" s="14" t="str">
        <x:v>Internal Test evidence may not transfer to new ICUs, geographies or EHR workflows.</x:v>
      </x:c>
      <x:c r="E12" s="14" t="str">
        <x:v>Validation</x:v>
      </x:c>
      <x:c r="F12" s="14" t="str">
        <x:v>Independent external validation absent</x:v>
      </x:c>
      <x:c r="G12" s="14" t="str">
        <x:v>Active — ANIHG-AI-002</x:v>
      </x:c>
    </x:row>
    <x:row r="13" ht="55" customHeight="1">
      <x:c r="A13" s="14" t="str">
        <x:v>LIB-SEP-009</x:v>
      </x:c>
      <x:c r="B13" s="14" t="str">
        <x:v>Data Quality</x:v>
      </x:c>
      <x:c r="C13" s="14" t="str">
        <x:v>Severe source missingness</x:v>
      </x:c>
      <x:c r="D13" s="14" t="str">
        <x:v>High missingness in multiple ICU measurements may undermine input reliability across settings.</x:v>
      </x:c>
      <x:c r="E13" s="14" t="str">
        <x:v>Data</x:v>
      </x:c>
      <x:c r="F13" s="14" t="str">
        <x:v>27 variables ≥80% missing in full cohort</x:v>
      </x:c>
      <x:c r="G13" s="14" t="str">
        <x:v>Active — ANIHG-AI-002</x:v>
      </x:c>
    </x:row>
    <x:row r="14" ht="55" customHeight="1">
      <x:c r="A14" s="14" t="str">
        <x:v>LIB-SEP-010</x:v>
      </x:c>
      <x:c r="B14" s="14" t="str">
        <x:v>Data Quality</x:v>
      </x:c>
      <x:c r="C14" s="14" t="str">
        <x:v>Cross-source measurement heterogeneity</x:v>
      </x:c>
      <x:c r="D14" s="14" t="str">
        <x:v>Set A/B differences in availability may create source-dependent model behavior.</x:v>
      </x:c>
      <x:c r="E14" s="14" t="str">
        <x:v>Data</x:v>
      </x:c>
      <x:c r="F14" s="14" t="str">
        <x:v>DBP 34.18 pp; Unit1/2 19.24 pp difference</x:v>
      </x:c>
      <x:c r="G14" s="14" t="str">
        <x:v>Active — ANIHG-AI-002</x:v>
      </x:c>
    </x:row>
    <x:row r="15" ht="55" customHeight="1">
      <x:c r="A15" s="14" t="str">
        <x:v>LIB-SEP-011</x:v>
      </x:c>
      <x:c r="B15" s="14" t="str">
        <x:v>Bias &amp; Fairness</x:v>
      </x:c>
      <x:c r="C15" s="14" t="str">
        <x:v>Unresolved differential error rates</x:v>
      </x:c>
      <x:c r="D15" s="14" t="str">
        <x:v>Unverified subgroup sensitivity and PPV may expose patient groups to unequal model performance.</x:v>
      </x:c>
      <x:c r="E15" s="14" t="str">
        <x:v>Validation</x:v>
      </x:c>
      <x:c r="F15" s="14" t="str">
        <x:v>Independent subgroup assurance not established</x:v>
      </x:c>
      <x:c r="G15" s="14" t="str">
        <x:v>Active — ANIHG-AI-002</x:v>
      </x:c>
    </x:row>
    <x:row r="16" ht="55" customHeight="1">
      <x:c r="A16" s="14" t="str">
        <x:v>LIB-SEP-012</x:v>
      </x:c>
      <x:c r="B16" s="14" t="str">
        <x:v>Explainability</x:v>
      </x:c>
      <x:c r="C16" s="14" t="str">
        <x:v>Care-process reliance</x:v>
      </x:c>
      <x:c r="D16" s="14" t="str">
        <x:v>39.14% care-process permutation importance may encode workflow rather than transferable physiology.</x:v>
      </x:c>
      <x:c r="E16" s="14" t="str">
        <x:v>Validation</x:v>
      </x:c>
      <x:c r="F16" s="14" t="str">
        <x:v>Care-process importance 39.14%</x:v>
      </x:c>
      <x:c r="G16" s="14" t="str">
        <x:v>Active — ANIHG-AI-002</x:v>
      </x:c>
    </x:row>
    <x:row r="17" ht="55" customHeight="1">
      <x:c r="A17" s="14" t="str">
        <x:v>LIB-SEP-013</x:v>
      </x:c>
      <x:c r="B17" s="14" t="str">
        <x:v>Explainability</x:v>
      </x:c>
      <x:c r="C17" s="14" t="str">
        <x:v>Misinterpretation of global attribution</x:v>
      </x:c>
      <x:c r="D17" s="14" t="str">
        <x:v>Global permutation importance may be misrepresented as patient-level causal explanation.</x:v>
      </x:c>
      <x:c r="E17" s="14" t="str">
        <x:v>Deployment</x:v>
      </x:c>
      <x:c r="F17" s="14" t="str">
        <x:v>No individual SHAP or causal inference provided</x:v>
      </x:c>
      <x:c r="G17" s="14" t="str">
        <x:v>Active — ANIHG-AI-002</x:v>
      </x:c>
    </x:row>
    <x:row r="18" ht="55" customHeight="1">
      <x:c r="A18" s="14" t="str">
        <x:v>LIB-SEP-014</x:v>
      </x:c>
      <x:c r="B18" s="14" t="str">
        <x:v>Human Oversight</x:v>
      </x:c>
      <x:c r="C18" s="14" t="str">
        <x:v>Automation bias</x:v>
      </x:c>
      <x:c r="D18" s="14" t="str">
        <x:v>Users may interpret a demo review flag as diagnostic or treatment instruction.</x:v>
      </x:c>
      <x:c r="E18" s="14" t="str">
        <x:v>Deployment</x:v>
      </x:c>
      <x:c r="F18" s="14" t="str">
        <x:v>Public dashboard with probability outputs</x:v>
      </x:c>
      <x:c r="G18" s="14" t="str">
        <x:v>Active — ANIHG-AI-002</x:v>
      </x:c>
    </x:row>
    <x:row r="19" ht="55" customHeight="1">
      <x:c r="A19" s="14" t="str">
        <x:v>LIB-SEP-015</x:v>
      </x:c>
      <x:c r="B19" s="14" t="str">
        <x:v>Privacy &amp; Data Governance</x:v>
      </x:c>
      <x:c r="C19" s="14" t="str">
        <x:v>Training-derived trajectory disclosure</x:v>
      </x:c>
      <x:c r="D19" s="14" t="str">
        <x:v>Published Train-derived trajectories may contain attributes creating residual disclosure risk despite relabeling.</x:v>
      </x:c>
      <x:c r="E19" s="14" t="str">
        <x:v>Deployment</x:v>
      </x:c>
      <x:c r="F19" s="14" t="str">
        <x:v>Two real Train-derived trajectories, not synthetic</x:v>
      </x:c>
      <x:c r="G19" s="14" t="str">
        <x:v>Active — ANIHG-AI-002</x:v>
      </x:c>
    </x:row>
    <x:row r="20" ht="55" customHeight="1">
      <x:c r="A20" s="14" t="str">
        <x:v>LIB-SEP-016</x:v>
      </x:c>
      <x:c r="B20" s="14" t="str">
        <x:v>Cybersecurity</x:v>
      </x:c>
      <x:c r="C20" s="14" t="str">
        <x:v>Public application compromise</x:v>
      </x:c>
      <x:c r="D20" s="14" t="str">
        <x:v>Public hosting may permit service abuse or compromise affecting integrity and availability.</x:v>
      </x:c>
      <x:c r="E20" s="14" t="str">
        <x:v>Deployment</x:v>
      </x:c>
      <x:c r="F20" s="14" t="str">
        <x:v>Public Streamlit Community Cloud endpoint</x:v>
      </x:c>
      <x:c r="G20" s="14" t="str">
        <x:v>Active — ANIHG-AI-002</x:v>
      </x:c>
    </x:row>
    <x:row r="21" ht="55" customHeight="1">
      <x:c r="A21" s="14" t="str">
        <x:v>LIB-SEP-017</x:v>
      </x:c>
      <x:c r="B21" s="14" t="str">
        <x:v>Model Integrity</x:v>
      </x:c>
      <x:c r="C21" s="14" t="str">
        <x:v>Frozen artifact substitution</x:v>
      </x:c>
      <x:c r="D21" s="14" t="str">
        <x:v>Incorrect estimator, feature contract or threshold could invalidate model outputs.</x:v>
      </x:c>
      <x:c r="E21" s="14" t="str">
        <x:v>Deployment</x:v>
      </x:c>
      <x:c r="F21" s="14" t="str">
        <x:v>B03 estimator; 230 predictors; OP07 0.004</x:v>
      </x:c>
      <x:c r="G21" s="14" t="str">
        <x:v>Active — ANIHG-AI-002</x:v>
      </x:c>
    </x:row>
    <x:row r="22" ht="55" customHeight="1">
      <x:c r="A22" s="14" t="str">
        <x:v>LIB-SEP-018</x:v>
      </x:c>
      <x:c r="B22" s="14" t="str">
        <x:v>Reproducibility</x:v>
      </x:c>
      <x:c r="C22" s="14" t="str">
        <x:v>Dependency and hosting changes</x:v>
      </x:c>
      <x:c r="D22" s="14" t="str">
        <x:v>Library updates or hosted runtime changes may break inference or change behavior.</x:v>
      </x:c>
      <x:c r="E22" s="14" t="str">
        <x:v>Deployment</x:v>
      </x:c>
      <x:c r="F22" s="14" t="str">
        <x:v>Python 3.13; pinned requirements; hosted app</x:v>
      </x:c>
      <x:c r="G22" s="14" t="str">
        <x:v>Active — ANIHG-AI-002</x:v>
      </x:c>
    </x:row>
    <x:row r="23" ht="55" customHeight="1">
      <x:c r="A23" s="14" t="str">
        <x:v>LIB-SEP-019</x:v>
      </x:c>
      <x:c r="B23" s="14" t="str">
        <x:v>Monitoring &amp; Drift</x:v>
      </x:c>
      <x:c r="C23" s="14" t="str">
        <x:v>Absent clinical production surveillance</x:v>
      </x:c>
      <x:c r="D23" s="14" t="str">
        <x:v>Without validated drift and performance monitoring, degradation could go undetected if deployed.</x:v>
      </x:c>
      <x:c r="E23" s="14" t="str">
        <x:v>Monitoring</x:v>
      </x:c>
      <x:c r="F23" s="14" t="str">
        <x:v>No operational clinical monitoring</x:v>
      </x:c>
      <x:c r="G23" s="14" t="str">
        <x:v>Active — ANIHG-AI-002</x:v>
      </x:c>
    </x:row>
    <x:row r="24" ht="55" customHeight="1">
      <x:c r="A24" s="14" t="str">
        <x:v>LIB-SEP-020</x:v>
      </x:c>
      <x:c r="B24" s="14" t="str">
        <x:v>Clinical Effectiveness</x:v>
      </x:c>
      <x:c r="C24" s="14" t="str">
        <x:v>No proven patient outcome benefit</x:v>
      </x:c>
      <x:c r="D24" s="14" t="str">
        <x:v>Retrospective discrimination may be mistaken for reduced sepsis morbidity or mortality.</x:v>
      </x:c>
      <x:c r="E24" s="14" t="str">
        <x:v>Validation</x:v>
      </x:c>
      <x:c r="F24" s="14" t="str">
        <x:v>No prospective outcomes or clinical utility evidence</x:v>
      </x:c>
      <x:c r="G24" s="14" t="str">
        <x:v>Active — ANIHG-AI-002</x:v>
      </x:c>
    </x:row>
    <x:row r="25" ht="55" customHeight="1">
      <x:c r="A25" s="14" t="str">
        <x:v>LIB-SEP-021</x:v>
      </x:c>
      <x:c r="B25" s="14" t="str">
        <x:v>Regulatory &amp; Governance</x:v>
      </x:c>
      <x:c r="C25" s="14" t="str">
        <x:v>Premature clinical authorization</x:v>
      </x:c>
      <x:c r="D25" s="14" t="str">
        <x:v>Public deployment may be misread as regulatory or institutional approval.</x:v>
      </x:c>
      <x:c r="E25" s="14" t="str">
        <x:v>Deployment</x:v>
      </x:c>
      <x:c r="F25" s="14" t="str">
        <x:v>Live Streamlit app; no institutional approval</x:v>
      </x:c>
      <x:c r="G25" s="14" t="str">
        <x:v>Active — ANIHG-AI-002</x:v>
      </x:c>
    </x:row>
    <x:row r="26" ht="55" customHeight="1">
      <x:c r="A26" s="14" t="str">
        <x:v>LIB-SEP-022</x:v>
      </x:c>
      <x:c r="B26" s="14" t="str">
        <x:v>Data Governance</x:v>
      </x:c>
      <x:c r="C26" s="14" t="str">
        <x:v>Licensing or attribution failure</x:v>
      </x:c>
      <x:c r="D26" s="14" t="str">
        <x:v>Omission of required source credit or modification disclosures may breach dataset terms.</x:v>
      </x:c>
      <x:c r="E26" s="14" t="str">
        <x:v>Deployment</x:v>
      </x:c>
      <x:c r="F26" s="14" t="str">
        <x:v>PhysioNet Challenge 2019 CC BY 4.0</x:v>
      </x:c>
      <x:c r="G26" s="14" t="str">
        <x:v>Active — ANIHG-AI-002</x:v>
      </x:c>
    </x:row>
    <x:row r="27" ht="55" customHeight="1">
      <x:c r="A27" s="14" t="str">
        <x:v>LIB-SEP-023</x:v>
      </x:c>
      <x:c r="B27" s="14" t="str">
        <x:v>Clinical Workflow</x:v>
      </x:c>
      <x:c r="C27" s="14" t="str">
        <x:v>No validated escalation pathway</x:v>
      </x:c>
      <x:c r="D27" s="14" t="str">
        <x:v>An above-threshold flag has no institutionally tested response or override protocol.</x:v>
      </x:c>
      <x:c r="E27" s="14" t="str">
        <x:v>Deployment</x:v>
      </x:c>
      <x:c r="F27" s="14" t="str">
        <x:v>No live EHR or clinician workflow</x:v>
      </x:c>
      <x:c r="G27" s="14" t="str">
        <x:v>Active — ANIHG-AI-002</x:v>
      </x:c>
    </x:row>
    <x:row r="28" ht="55" customHeight="1">
      <x:c r="A28" s="14" t="str">
        <x:v>LIB-SEP-024</x:v>
      </x:c>
      <x:c r="B28" s="14" t="str">
        <x:v>Change Management</x:v>
      </x:c>
      <x:c r="C28" s="14" t="str">
        <x:v>Uncontrolled model or threshold changes</x:v>
      </x:c>
      <x:c r="D28" s="14" t="str">
        <x:v>Changes after Test closure may invalidate reported evidence or create misleading claims.</x:v>
      </x:c>
      <x:c r="E28" s="14" t="str">
        <x:v>Development</x:v>
      </x:c>
      <x:c r="F28" s="14" t="str">
        <x:v>Closed Test; OP07 frozen</x:v>
      </x:c>
      <x:c r="G28" s="14" t="str">
        <x:v>Active — ANIHG-AI-002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6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16" t="str">
        <x:v>ANIHG RISK REGISTER — GUIDANCE &amp; CONTROLLED LISTS</x:v>
      </x:c>
      <x:c r="B1" s="16"/>
      <x:c r="C1" s="16"/>
      <x:c r="D1" s="16"/>
      <x:c r="E1" s="16"/>
      <x:c r="F1" s="16"/>
      <x:c r="G1" s="16"/>
      <x:c r="H1" s="16"/>
    </x:row>
    <x:row r="3" ht="30" customHeight="1">
      <x:c r="A3" s="10" t="str">
        <x:v>Field / List</x:v>
      </x:c>
      <x:c r="B3" s="10" t="str">
        <x:v>Controlled Values / Guidance</x:v>
      </x:c>
      <x:c r="C3" s="10"/>
      <x:c r="D3" s="10"/>
      <x:c r="E3" s="10"/>
      <x:c r="F3" s="10"/>
      <x:c r="G3" s="10"/>
      <x:c r="H3" s="10"/>
    </x:row>
    <x:row r="4">
      <x:c r="A4" t="str">
        <x:v>Treatment</x:v>
      </x:c>
      <x:c r="B4" t="str">
        <x:v>Mitigate</x:v>
      </x:c>
      <x:c r="C4" t="str">
        <x:v>Avoid</x:v>
      </x:c>
      <x:c r="D4" t="str">
        <x:v>Transfer</x:v>
      </x:c>
      <x:c r="E4" t="str">
        <x:v>Accept</x:v>
      </x:c>
      <x:c r="F4"/>
      <x:c r="G4"/>
      <x:c r="H4"/>
    </x:row>
    <x:row r="5">
      <x:c r="A5" t="str">
        <x:v>Status</x:v>
      </x:c>
      <x:c r="B5" t="str">
        <x:v>Open</x:v>
      </x:c>
      <x:c r="C5" t="str">
        <x:v>Treatment in Progress</x:v>
      </x:c>
      <x:c r="D5" t="str">
        <x:v>Monitoring</x:v>
      </x:c>
      <x:c r="E5" t="str">
        <x:v>Escalated</x:v>
      </x:c>
      <x:c r="F5" t="str">
        <x:v>Accepted</x:v>
      </x:c>
      <x:c r="G5" t="str">
        <x:v>Closed</x:v>
      </x:c>
      <x:c r="H5"/>
    </x:row>
    <x:row r="6">
      <x:c r="A6" t="str">
        <x:v>Lifecycle Stage</x:v>
      </x:c>
      <x:c r="B6" t="str">
        <x:v>Planning</x:v>
      </x:c>
      <x:c r="C6" t="str">
        <x:v>Data</x:v>
      </x:c>
      <x:c r="D6" t="str">
        <x:v>Development</x:v>
      </x:c>
      <x:c r="E6" t="str">
        <x:v>Validation</x:v>
      </x:c>
      <x:c r="F6" t="str">
        <x:v>Deployment</x:v>
      </x:c>
      <x:c r="G6" t="str">
        <x:v>Monitoring</x:v>
      </x:c>
      <x:c r="H6" t="str">
        <x:v>Retirement</x:v>
      </x:c>
    </x:row>
    <x:row r="7">
      <x:c r="A7" t="str">
        <x:v>Likelihood</x:v>
      </x:c>
      <x:c r="B7" t="str">
        <x:v>1 Rare</x:v>
      </x:c>
      <x:c r="C7" t="str">
        <x:v>2 Unlikely</x:v>
      </x:c>
      <x:c r="D7" t="str">
        <x:v>3 Possible</x:v>
      </x:c>
      <x:c r="E7" t="str">
        <x:v>4 Likely</x:v>
      </x:c>
      <x:c r="F7" t="str">
        <x:v>5 Almost Certain</x:v>
      </x:c>
      <x:c r="G7"/>
      <x:c r="H7"/>
    </x:row>
    <x:row r="8">
      <x:c r="A8" t="str">
        <x:v>Impact</x:v>
      </x:c>
      <x:c r="B8" t="str">
        <x:v>1 Insignificant</x:v>
      </x:c>
      <x:c r="C8" t="str">
        <x:v>2 Minor</x:v>
      </x:c>
      <x:c r="D8" t="str">
        <x:v>3 Moderate</x:v>
      </x:c>
      <x:c r="E8" t="str">
        <x:v>4 Major</x:v>
      </x:c>
      <x:c r="F8" t="str">
        <x:v>5 Severe / Critical</x:v>
      </x:c>
      <x:c r="G8"/>
      <x:c r="H8"/>
    </x:row>
    <x:row r="9">
      <x:c r="A9" t="str">
        <x:v>Risk Statement Standard</x:v>
      </x:c>
      <x:c r="B9" t="str">
        <x:v>Because of [CAUSE], there is a risk that [EVENT], resulting in [IMPACT].</x:v>
      </x:c>
      <x:c r="C9"/>
      <x:c r="D9"/>
      <x:c r="E9"/>
      <x:c r="F9"/>
      <x:c r="G9"/>
      <x:c r="H9"/>
    </x:row>
    <x:row r="12" ht="30" customHeight="1">
      <x:c r="A12" s="10" t="str">
        <x:v>Scoring Rule</x:v>
      </x:c>
      <x:c r="B12" s="10" t="str">
        <x:v>Inherent and residual scores = likelihood × impact</x:v>
      </x:c>
    </x:row>
    <x:row r="13">
      <x:c r="A13" t="str">
        <x:v>1–5</x:v>
      </x:c>
      <x:c r="B13" t="str">
        <x:v>Low</x:v>
      </x:c>
    </x:row>
    <x:row r="14">
      <x:c r="A14" t="str">
        <x:v>6–11</x:v>
      </x:c>
      <x:c r="B14" t="str">
        <x:v>Moderate</x:v>
      </x:c>
    </x:row>
    <x:row r="15">
      <x:c r="A15" t="str">
        <x:v>12–19</x:v>
      </x:c>
      <x:c r="B15" t="str">
        <x:v>High</x:v>
      </x:c>
    </x:row>
    <x:row r="16">
      <x:c r="A16" t="str">
        <x:v>20–25</x:v>
      </x:c>
      <x:c r="B16" t="str">
        <x:v>Critical</x:v>
      </x:c>
    </x:row>
    <x:row r="17">
      <x:c r="A17" t="str">
        <x:v>Ownership</x:v>
      </x:c>
      <x:c r="B17" t="str">
        <x:v>All risk/action owners are proposed roles, not appointed institutional personnel</x:v>
      </x:c>
    </x:row>
    <x:row r="18">
      <x:c r="A18" t="str">
        <x:v>Residual Scoring</x:v>
      </x:c>
      <x:c r="B18" t="str">
        <x:v>Provisional estimates based on existing demo controls; not clinical risk acceptance</x:v>
      </x:c>
    </x:row>
    <x:row r="21" ht="30" customHeight="1">
      <x:c r="A21" s="10" t="str">
        <x:v>Document Control</x:v>
      </x:c>
      <x:c r="B21" s="10" t="str">
        <x:v>Value</x:v>
      </x:c>
    </x:row>
    <x:row r="22">
      <x:c r="A22" t="str">
        <x:v>System ID</x:v>
      </x:c>
      <x:c r="B22" t="str">
        <x:v>ANIHG-AI-002</x:v>
      </x:c>
    </x:row>
    <x:row r="23">
      <x:c r="A23" t="str">
        <x:v>Application</x:v>
      </x:c>
      <x:c r="B23" t="str">
        <x:v>SepsisIQ V2</x:v>
      </x:c>
    </x:row>
    <x:row r="24">
      <x:c r="A24" t="str">
        <x:v>Version</x:v>
      </x:c>
      <x:c r="B24" t="str">
        <x:v>1.0</x:v>
      </x:c>
    </x:row>
    <x:row r="25">
      <x:c r="A25" t="str">
        <x:v>Issued</x:v>
      </x:c>
      <x:c r="B25" t="str">
        <x:v>2026-10-10</x:v>
      </x:c>
    </x:row>
    <x:row r="26">
      <x:c r="A26" t="str">
        <x:v>Clinical Authorization</x:v>
      </x:c>
      <x:c r="B26" t="str">
        <x:v>NOT AUTHORIZED</x:v>
      </x:c>
    </x:row>
  </x:sheetData>
  <x:mergeCells>
    <x:mergeCell ref="A1:H1"/>
  </x:mergeCells>
  <x:pageMargins left="0.7" right="0.7" top="0.75" bottom="0.75" header="0.3" footer="0.3"/>
</x:worksheet>
</file>