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35E44EB-FC75-441A-BC9A-3DA89FB71B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ecutive Dashboard" sheetId="1" r:id="rId1"/>
    <sheet name="AI System Inventory" sheetId="2" r:id="rId2"/>
    <sheet name="Governance Reference" sheetId="3" r:id="rId3"/>
    <sheet name="Field Guide" sheetId="4" r:id="rId4"/>
    <sheet name="Controlled Lis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104" i="2" l="1"/>
  <c r="AZ104" i="2"/>
  <c r="BA103" i="2"/>
  <c r="AZ103" i="2"/>
  <c r="BA102" i="2"/>
  <c r="AZ102" i="2"/>
  <c r="BA101" i="2"/>
  <c r="AZ101" i="2"/>
  <c r="BA100" i="2"/>
  <c r="AZ100" i="2"/>
  <c r="BA99" i="2"/>
  <c r="AZ99" i="2"/>
  <c r="BA98" i="2"/>
  <c r="AZ98" i="2"/>
  <c r="BA97" i="2"/>
  <c r="AZ97" i="2"/>
  <c r="BA96" i="2"/>
  <c r="AZ96" i="2"/>
  <c r="BA95" i="2"/>
  <c r="AZ95" i="2"/>
  <c r="BA94" i="2"/>
  <c r="AZ94" i="2"/>
  <c r="BA93" i="2"/>
  <c r="AZ93" i="2"/>
  <c r="BA92" i="2"/>
  <c r="AZ92" i="2"/>
  <c r="BA91" i="2"/>
  <c r="AZ91" i="2"/>
  <c r="BA90" i="2"/>
  <c r="AZ90" i="2"/>
  <c r="BA89" i="2"/>
  <c r="AZ89" i="2"/>
  <c r="BA88" i="2"/>
  <c r="AZ88" i="2"/>
  <c r="BA87" i="2"/>
  <c r="AZ87" i="2"/>
  <c r="BA86" i="2"/>
  <c r="AZ86" i="2"/>
  <c r="BA85" i="2"/>
  <c r="AZ85" i="2"/>
  <c r="BA84" i="2"/>
  <c r="AZ84" i="2"/>
  <c r="BA83" i="2"/>
  <c r="AZ83" i="2"/>
  <c r="BA82" i="2"/>
  <c r="AZ82" i="2"/>
  <c r="BA81" i="2"/>
  <c r="AZ81" i="2"/>
  <c r="BA80" i="2"/>
  <c r="AZ80" i="2"/>
  <c r="BA79" i="2"/>
  <c r="AZ79" i="2"/>
  <c r="BA78" i="2"/>
  <c r="AZ78" i="2"/>
  <c r="BA77" i="2"/>
  <c r="AZ77" i="2"/>
  <c r="BA76" i="2"/>
  <c r="AZ76" i="2"/>
  <c r="BA75" i="2"/>
  <c r="AZ75" i="2"/>
  <c r="BA74" i="2"/>
  <c r="AZ74" i="2"/>
  <c r="BA73" i="2"/>
  <c r="AZ73" i="2"/>
  <c r="BA72" i="2"/>
  <c r="AZ72" i="2"/>
  <c r="BA71" i="2"/>
  <c r="AZ71" i="2"/>
  <c r="BA70" i="2"/>
  <c r="AZ70" i="2"/>
  <c r="BA69" i="2"/>
  <c r="AZ69" i="2"/>
  <c r="BA68" i="2"/>
  <c r="AZ68" i="2"/>
  <c r="BA67" i="2"/>
  <c r="AZ67" i="2"/>
  <c r="BA66" i="2"/>
  <c r="AZ66" i="2"/>
  <c r="BA65" i="2"/>
  <c r="AZ65" i="2"/>
  <c r="BA64" i="2"/>
  <c r="AZ64" i="2"/>
  <c r="BA63" i="2"/>
  <c r="AZ63" i="2"/>
  <c r="BA62" i="2"/>
  <c r="AZ62" i="2"/>
  <c r="BA61" i="2"/>
  <c r="AZ61" i="2"/>
  <c r="BA60" i="2"/>
  <c r="AZ60" i="2"/>
  <c r="BA59" i="2"/>
  <c r="AZ59" i="2"/>
  <c r="BA58" i="2"/>
  <c r="AZ58" i="2"/>
  <c r="BA57" i="2"/>
  <c r="AZ57" i="2"/>
  <c r="BA56" i="2"/>
  <c r="AZ56" i="2"/>
  <c r="BA55" i="2"/>
  <c r="AZ55" i="2"/>
  <c r="BA54" i="2"/>
  <c r="AZ54" i="2"/>
  <c r="BA53" i="2"/>
  <c r="AZ53" i="2"/>
  <c r="BA52" i="2"/>
  <c r="AZ52" i="2"/>
  <c r="BA51" i="2"/>
  <c r="AZ51" i="2"/>
  <c r="BA50" i="2"/>
  <c r="AZ50" i="2"/>
  <c r="BA49" i="2"/>
  <c r="AZ49" i="2"/>
  <c r="BA48" i="2"/>
  <c r="AZ48" i="2"/>
  <c r="BA47" i="2"/>
  <c r="AZ47" i="2"/>
  <c r="BA46" i="2"/>
  <c r="AZ46" i="2"/>
  <c r="BA45" i="2"/>
  <c r="AZ45" i="2"/>
  <c r="BA44" i="2"/>
  <c r="AZ44" i="2"/>
  <c r="BA43" i="2"/>
  <c r="AZ43" i="2"/>
  <c r="BA42" i="2"/>
  <c r="AZ42" i="2"/>
  <c r="BA41" i="2"/>
  <c r="AZ41" i="2"/>
  <c r="BA40" i="2"/>
  <c r="AZ40" i="2"/>
  <c r="BA39" i="2"/>
  <c r="AZ39" i="2"/>
  <c r="BA38" i="2"/>
  <c r="AZ38" i="2"/>
  <c r="BA37" i="2"/>
  <c r="AZ37" i="2"/>
  <c r="BA36" i="2"/>
  <c r="AZ36" i="2"/>
  <c r="BA35" i="2"/>
  <c r="AZ35" i="2"/>
  <c r="BA34" i="2"/>
  <c r="AZ34" i="2"/>
  <c r="BA33" i="2"/>
  <c r="AZ33" i="2"/>
  <c r="BA32" i="2"/>
  <c r="AZ32" i="2"/>
  <c r="BA31" i="2"/>
  <c r="AZ31" i="2"/>
  <c r="BA30" i="2"/>
  <c r="AZ30" i="2"/>
  <c r="BA29" i="2"/>
  <c r="AZ29" i="2"/>
  <c r="BA28" i="2"/>
  <c r="AZ28" i="2"/>
  <c r="BA27" i="2"/>
  <c r="AZ27" i="2"/>
  <c r="BA26" i="2"/>
  <c r="AZ26" i="2"/>
  <c r="BA25" i="2"/>
  <c r="AZ25" i="2"/>
  <c r="BA24" i="2"/>
  <c r="AZ24" i="2"/>
  <c r="BA23" i="2"/>
  <c r="AZ23" i="2"/>
  <c r="BA22" i="2"/>
  <c r="AZ22" i="2"/>
  <c r="BA21" i="2"/>
  <c r="AZ21" i="2"/>
  <c r="BA20" i="2"/>
  <c r="AZ20" i="2"/>
  <c r="BA19" i="2"/>
  <c r="AZ19" i="2"/>
  <c r="BA18" i="2"/>
  <c r="AZ18" i="2"/>
  <c r="BA17" i="2"/>
  <c r="AZ17" i="2"/>
  <c r="BA16" i="2"/>
  <c r="AZ16" i="2"/>
  <c r="BA15" i="2"/>
  <c r="AZ15" i="2"/>
  <c r="BA14" i="2"/>
  <c r="AZ14" i="2"/>
  <c r="BA13" i="2"/>
  <c r="AZ13" i="2"/>
  <c r="BA12" i="2"/>
  <c r="AZ12" i="2"/>
  <c r="BA11" i="2"/>
  <c r="AZ11" i="2"/>
  <c r="BA10" i="2"/>
  <c r="AZ10" i="2"/>
  <c r="BA9" i="2"/>
  <c r="AZ9" i="2"/>
  <c r="BA8" i="2"/>
  <c r="AZ8" i="2"/>
  <c r="BA7" i="2"/>
  <c r="AZ7" i="2"/>
  <c r="BA6" i="2"/>
  <c r="AZ6" i="2"/>
  <c r="BA5" i="2"/>
  <c r="AZ5" i="2"/>
  <c r="G8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E8" i="1"/>
  <c r="C8" i="1"/>
  <c r="A8" i="1"/>
  <c r="G5" i="1"/>
  <c r="E5" i="1"/>
  <c r="C5" i="1"/>
  <c r="A5" i="1"/>
  <c r="A11" i="1" l="1"/>
</calcChain>
</file>

<file path=xl/sharedStrings.xml><?xml version="1.0" encoding="utf-8"?>
<sst xmlns="http://schemas.openxmlformats.org/spreadsheetml/2006/main" count="712" uniqueCount="318">
  <si>
    <t>Portfolio view | ReadmitAI (ANIHG-AI-001) + SepsisIQ V2 (ANIHG-AI-002) | clinical deployment not authorized</t>
  </si>
  <si>
    <t>Systems Recorded</t>
  </si>
  <si>
    <t>Production Systems</t>
  </si>
  <si>
    <t>High / Critical Risk</t>
  </si>
  <si>
    <t>Pending / Under Review</t>
  </si>
  <si>
    <t>Deployment Authorized</t>
  </si>
  <si>
    <t>Deployment Blocked</t>
  </si>
  <si>
    <t>Open / In-Progress Controls</t>
  </si>
  <si>
    <t>Overdue Reviews</t>
  </si>
  <si>
    <t>GOVERNANCE ATTENTION REQUIRED</t>
  </si>
  <si>
    <t>Assurance Domain</t>
  </si>
  <si>
    <t>Completed</t>
  </si>
  <si>
    <t>Outstanding</t>
  </si>
  <si>
    <t>Validation</t>
  </si>
  <si>
    <t>Fairness / Subgroup</t>
  </si>
  <si>
    <t>Explainability</t>
  </si>
  <si>
    <t>Robustness</t>
  </si>
  <si>
    <t>Clinical Validation</t>
  </si>
  <si>
    <t>Monitoring Active</t>
  </si>
  <si>
    <t>ANIHG AI SYSTEM INVENTORY</t>
  </si>
  <si>
    <t>Authoritative register for AI systems, governance status, assurance evidence, approvals, monitoring and reassessment.</t>
  </si>
  <si>
    <t>AI System ID</t>
  </si>
  <si>
    <t>AI System Name</t>
  </si>
  <si>
    <t>Business Purpose / Intended Use</t>
  </si>
  <si>
    <t>Business Owner</t>
  </si>
  <si>
    <t>Technical Owner</t>
  </si>
  <si>
    <t>Team / Function</t>
  </si>
  <si>
    <t>Vendor / Build Type</t>
  </si>
  <si>
    <t>Product / Model / Version</t>
  </si>
  <si>
    <t>AI Type</t>
  </si>
  <si>
    <t>Lifecycle Stage</t>
  </si>
  <si>
    <t>Deployment Environment</t>
  </si>
  <si>
    <t>Deployment Status</t>
  </si>
  <si>
    <t>Authorized Users</t>
  </si>
  <si>
    <t>Affected Population</t>
  </si>
  <si>
    <t>Data Inputs</t>
  </si>
  <si>
    <t>Data Source(s)</t>
  </si>
  <si>
    <t>Sensitive / Regulated Data?</t>
  </si>
  <si>
    <t>Outputs / Destinations</t>
  </si>
  <si>
    <t>External Integrations</t>
  </si>
  <si>
    <t>Automated Actions?</t>
  </si>
  <si>
    <t>Human Review Requirement</t>
  </si>
  <si>
    <t>Human Decision Authority</t>
  </si>
  <si>
    <t>Decision Impact</t>
  </si>
  <si>
    <t>Override / Escalation Mechanism</t>
  </si>
  <si>
    <t>AI Risk Tier</t>
  </si>
  <si>
    <t>Linked AI Risk Register ID(s)</t>
  </si>
  <si>
    <t>Control Status</t>
  </si>
  <si>
    <t>Material Control Gaps</t>
  </si>
  <si>
    <t>AI Impact Assessment ID</t>
  </si>
  <si>
    <t>Model Card ID</t>
  </si>
  <si>
    <t>Legal / Regulatory Role</t>
  </si>
  <si>
    <t>Primary Jurisdiction</t>
  </si>
  <si>
    <t>Applicable Regulation / Requirement</t>
  </si>
  <si>
    <t>Regulatory Classification</t>
  </si>
  <si>
    <t>ISO/IEC 42001 Linkage</t>
  </si>
  <si>
    <t>NIST AI RMF Linkage</t>
  </si>
  <si>
    <t>Validation Status</t>
  </si>
  <si>
    <t>Performance Evidence</t>
  </si>
  <si>
    <t>Fairness / Subgroup Assessment</t>
  </si>
  <si>
    <t>Explainability Assessment</t>
  </si>
  <si>
    <t>Robustness Assessment</t>
  </si>
  <si>
    <t>Clinical / Domain Validation</t>
  </si>
  <si>
    <t>Approval Status</t>
  </si>
  <si>
    <t>Approving Authority</t>
  </si>
  <si>
    <t>Deployment Authorization</t>
  </si>
  <si>
    <t>Approval Conditions / Restrictions</t>
  </si>
  <si>
    <t>Evidence Repository / Link</t>
  </si>
  <si>
    <t>Monitoring Status</t>
  </si>
  <si>
    <t>Monitoring Plan / Evidence</t>
  </si>
  <si>
    <t>Last Review Date</t>
  </si>
  <si>
    <t>Next Review Date</t>
  </si>
  <si>
    <t>Review Status</t>
  </si>
  <si>
    <t>Days to Review</t>
  </si>
  <si>
    <t>Reassessment Triggers / Notes</t>
  </si>
  <si>
    <t>ANIHG-AI-001</t>
  </si>
  <si>
    <t>30-Day Diabetes Readmission Clinical AI</t>
  </si>
  <si>
    <t>Predict probability of hospital readmission within 30 days among adult patients with diabetes and identify patients who may warrant prioritized human review and discharge-planning attention.</t>
  </si>
  <si>
    <t>ANIHG — Clinical AI Program / designated accountable clinical owner</t>
  </si>
  <si>
    <t>ANIHG — Clinical AI / Data Science Function</t>
  </si>
  <si>
    <t>Clinical AI &amp; Healthcare Analytics</t>
  </si>
  <si>
    <t>Internal Build</t>
  </si>
  <si>
    <t>XGBoost classification model / current validated prototype version</t>
  </si>
  <si>
    <t>Predictive Model</t>
  </si>
  <si>
    <t>Local</t>
  </si>
  <si>
    <t>Prototype</t>
  </si>
  <si>
    <t>Project developer/evaluator; future clinical users subject to authorization</t>
  </si>
  <si>
    <t>Adult patients with diabetes represented within the intended hospital readmission use case</t>
  </si>
  <si>
    <t>Selected demographic, encounter, clinical and prior healthcare-utilization features</t>
  </si>
  <si>
    <t>UCI Diabetes 130-US Hospitals for Years 1999–2008 dataset (diabetic_data.csv)</t>
  </si>
  <si>
    <t>Yes</t>
  </si>
  <si>
    <t>30-day readmission probability, threshold-based advisory classification, and model explanation presented through prototype interface</t>
  </si>
  <si>
    <t>None</t>
  </si>
  <si>
    <t>No</t>
  </si>
  <si>
    <t>Required</t>
  </si>
  <si>
    <t>Qualified healthcare professional / authorized clinical decision-maker</t>
  </si>
  <si>
    <t>Advisory</t>
  </si>
  <si>
    <t>AI output does not independently determine patient management. Authorized clinician retains authority to accept, disregard, or escalate the advisory output.</t>
  </si>
  <si>
    <t>High</t>
  </si>
  <si>
    <t>To be linked to applicable ANIHG Risk Register records</t>
  </si>
  <si>
    <t>In Progress</t>
  </si>
  <si>
    <t>Fairness/subgroup evaluation, robustness evaluation, monitoring framework, formal governance authorization and production controls remain incomplete.</t>
  </si>
  <si>
    <t>Not yet assigned</t>
  </si>
  <si>
    <t>ANIHG-MC-001 — planned</t>
  </si>
  <si>
    <t>Provider / Developer — portfolio simulation classification; jurisdiction-specific determination required before real deployment</t>
  </si>
  <si>
    <t>Not assigned for prototype</t>
  </si>
  <si>
    <t>To be determined before real-world clinical deployment based on deployment jurisdiction and intended medical use</t>
  </si>
  <si>
    <t>Not Formally Determined</t>
  </si>
  <si>
    <t>AI governance, risk management, lifecycle management, documented information, monitoring and continual improvement controls, as applicable</t>
  </si>
  <si>
    <t>GOVERN; MAP; MEASURE; MANAGE</t>
  </si>
  <si>
    <t>Model development/validation notebook and generated project artifacts; operating threshold 0.12</t>
  </si>
  <si>
    <t>Under Review</t>
  </si>
  <si>
    <t>Not yet assigned — simulated ANIHG governance authorization required before deployment</t>
  </si>
  <si>
    <t>Research, portfolio demonstration and prototype evaluation only. Not authorized for autonomous or real-world clinical decision-making.</t>
  </si>
  <si>
    <t>Diabetes Readmission AI project notebook, validation artifacts, explainability artifacts and Streamlit prototype repository</t>
  </si>
  <si>
    <t>Not Established</t>
  </si>
  <si>
    <t>Pending</t>
  </si>
  <si>
    <t>Reassess after material model/version, feature, threshold, dataset, intended-use or population change; performance degradation; subgroup disparity; drift; safety incident; integration or regulatory change; or proposed clinical deployment.</t>
  </si>
  <si>
    <t>ANIHG-AI-002</t>
  </si>
  <si>
    <t>SepsisIQ V2 — ICU Sepsis Risk Intelligence &amp; Clinical AI Governance Prototype</t>
  </si>
  <si>
    <t>Public clinical AI product demonstration integrating ICU sepsis risk prediction, model evaluation, safety evidence, governance and readiness assessment; no patient-care use authorized.</t>
  </si>
  <si>
    <t>Dr. Samuel Israel, MD — developer/portfolio owner; institutional clinical owner not appointed</t>
  </si>
  <si>
    <t>Dr. Samuel Israel, MD — technical developer</t>
  </si>
  <si>
    <t>Clinical AI &amp; Healthcare Analytics / AI Governance</t>
  </si>
  <si>
    <t>SepsisIQ V2 / B03 frozen HistGradientBoostingClassifier / OP07 0.004</t>
  </si>
  <si>
    <t>Cloud SaaS</t>
  </si>
  <si>
    <t>Public demonstration users; no authorized clinical users</t>
  </si>
  <si>
    <t>Retrospective ICU population in PhysioNet/CinC 2019; future clinical population not approved</t>
  </si>
  <si>
    <t>230 approved predictors: physiology, care-process and context/history features; fixed Train-derived demonstration trajectories only</t>
  </si>
  <si>
    <t>PhysioNet/CinC 2019 (CC BY 4.0); 40,336 analytical patients; 1,527,226 patient-hours</t>
  </si>
  <si>
    <t>Calibrated sepsis-related probability, OP07 threshold review indicator; retrospective performance, safety and governance dashboards</t>
  </si>
  <si>
    <t>GitHub source repository and Streamlit Community Cloud hosting; no EHR or hospital system integration</t>
  </si>
  <si>
    <t>Required for any future clinical workflow; current app demonstration only</t>
  </si>
  <si>
    <t>Qualified clinician under institutionally approved governance, if ever authorized</t>
  </si>
  <si>
    <t>No clinical actions enabled; two fixed demonstration cases; no patient uploads; institutional escalation procedures not implemented</t>
  </si>
  <si>
    <t>ANIHG-AI-002 — SepsisIQ V2 AI Risk Register (24 project-specific risks)</t>
  </si>
  <si>
    <t>False-negative risk, PPV 1.12%, alert burden, temporal instability, external transportability, subgroup assurance, prospective safety and institutional approvals unresolved</t>
  </si>
  <si>
    <t>Not assigned; formal institutional AIA required before clinical use</t>
  </si>
  <si>
    <t>ANIHG-MC-002 — SepsisIQ V2 Model Card</t>
  </si>
  <si>
    <t>Developer / portfolio demonstration; medical-device regulatory classification not determined</t>
  </si>
  <si>
    <t>Public cloud hosting; clinical-use jurisdiction not assigned</t>
  </si>
  <si>
    <t>Jurisdiction-specific healthcare AI, privacy, security and medical-device obligations require determination before clinical implementation</t>
  </si>
  <si>
    <t>Governance, risk management, lifecycle, evidence, human oversight and monitoring control mapping; no certification claimed</t>
  </si>
  <si>
    <t>Held-out Test: 6,051 patients, 228,452 patient-hours; ROC-AUC 0.834478; PR-AUC 0.012340; sensitivity 48.41%; specificity 91.77%; PPV 1.12%; Brier 0.001914; 8.31 flags/100 patient-hours; 69.00% patients flagged ≥1</t>
  </si>
  <si>
    <t>Not appointed; independent institutional approval required</t>
  </si>
  <si>
    <t>Public portfolio demonstration only. No live clinical monitoring, diagnosis, triage, treatment or EHR integration; prospective silent validation conditional on approval</t>
  </si>
  <si>
    <t>https://github.com/drsam-israel/SepsisIQ-V2 ; https://sepsisiq-v2-bfne2qdqhntja2a2pxqgxf.streamlit.app/ ; ANIHG-MC-002 ; Clinical AI Model Evaluation Report</t>
  </si>
  <si>
    <t>Designed</t>
  </si>
  <si>
    <t>Governance monitoring and safety-stop design documented; not deployed as a prospective clinical monitoring system</t>
  </si>
  <si>
    <t>Reassess on model/threshold/feature changes, new clinical data or hospital context, drift, subgroup disparity, security incident, regulatory change, or any proposal for prospective or live clinical use.</t>
  </si>
  <si>
    <t>REGULATORY &amp; GOVERNANCE REFERENCE</t>
  </si>
  <si>
    <t>Reference framework for inventory classification. Legal applicability must be confirmed for the actual deployment jurisdiction and intended use.</t>
  </si>
  <si>
    <t>Framework / Area</t>
  </si>
  <si>
    <t>Purpose in Inventory</t>
  </si>
  <si>
    <t>ANIHG-AI-001 Status</t>
  </si>
  <si>
    <t>Evidence / Artifact</t>
  </si>
  <si>
    <t>Governance Function</t>
  </si>
  <si>
    <t>Applicability Note</t>
  </si>
  <si>
    <t>Review Trigger</t>
  </si>
  <si>
    <t>ANIHG-AI-002 Status</t>
  </si>
  <si>
    <t>ISO/IEC 42001</t>
  </si>
  <si>
    <t>AI management-system governance and lifecycle controls</t>
  </si>
  <si>
    <t>Applicable as governance reference</t>
  </si>
  <si>
    <t>Inventory; Risk Register; policies; assurance evidence</t>
  </si>
  <si>
    <t>Governance / control framework</t>
  </si>
  <si>
    <t>Use applicable clauses/controls; inventory entry alone does not establish conformity</t>
  </si>
  <si>
    <t>Material system/control change</t>
  </si>
  <si>
    <t>Governance reference; system registered; no conformity certification claimed</t>
  </si>
  <si>
    <t>NIST AI RMF</t>
  </si>
  <si>
    <t>Risk governance across GOVERN, MAP, MEASURE, MANAGE</t>
  </si>
  <si>
    <t>Risk Register; validation; monitoring evidence</t>
  </si>
  <si>
    <t>Risk management framework</t>
  </si>
  <si>
    <t>Voluntary framework; map evidence to functions</t>
  </si>
  <si>
    <t>Risk or lifecycle change</t>
  </si>
  <si>
    <t>Risk register and evaluation evidence documented; clinical deployment NO-GO</t>
  </si>
  <si>
    <t>Healthcare / Medical AI Regulation</t>
  </si>
  <si>
    <t>Determine medical-device/clinical AI obligations where applicable</t>
  </si>
  <si>
    <t>Not formally determined</t>
  </si>
  <si>
    <t>Future regulatory assessment</t>
  </si>
  <si>
    <t>Regulatory classification</t>
  </si>
  <si>
    <t>Depends on jurisdiction, intended purpose, claims and deployment context</t>
  </si>
  <si>
    <t>Before clinical deployment</t>
  </si>
  <si>
    <t>Jurisdiction-specific classification pending; no clinical authorization</t>
  </si>
  <si>
    <t>Privacy / Data Protection</t>
  </si>
  <si>
    <t>Assess personal/health-data obligations</t>
  </si>
  <si>
    <t>Assessment required before real deployment</t>
  </si>
  <si>
    <t>Data governance and privacy evidence</t>
  </si>
  <si>
    <t>Data governance</t>
  </si>
  <si>
    <t>Prototype uses de-identified research data; deployment context may change obligations</t>
  </si>
  <si>
    <t>New data source / identifiable data</t>
  </si>
  <si>
    <t>Public Train-derived demonstration data; privacy and security assurance for clinical use pending</t>
  </si>
  <si>
    <t>Clinical Safety &amp; Human Oversight</t>
  </si>
  <si>
    <t>Maintain meaningful human decision authority</t>
  </si>
  <si>
    <t>Human review required</t>
  </si>
  <si>
    <t>Model card; workflow; validation evidence</t>
  </si>
  <si>
    <t>Safety / oversight</t>
  </si>
  <si>
    <t>AI output remains advisory in current prototype</t>
  </si>
  <si>
    <t>Workflow or autonomy change</t>
  </si>
  <si>
    <t>Human oversight required for any future clinical workflow; none currently authorized</t>
  </si>
  <si>
    <t>ANIHG AI SYSTEM INVENTORY — FIELD GUIDE</t>
  </si>
  <si>
    <t>Field</t>
  </si>
  <si>
    <t>Question to Answer</t>
  </si>
  <si>
    <t>Expected Evidence / Entry</t>
  </si>
  <si>
    <t>Control Type</t>
  </si>
  <si>
    <t>Governance Note</t>
  </si>
  <si>
    <t>What is the current, evidence-backed value for ai system id?</t>
  </si>
  <si>
    <t>Current organizational record or linked supporting evidence</t>
  </si>
  <si>
    <t>Free text / reference</t>
  </si>
  <si>
    <t>Do not infer approval, compliance, safety or deployment readiness from completion of this field.</t>
  </si>
  <si>
    <t>What is the current, evidence-backed value for ai system name?</t>
  </si>
  <si>
    <t>What is the current, evidence-backed value for business purpose / intended use?</t>
  </si>
  <si>
    <t>What is the current, evidence-backed value for business owner?</t>
  </si>
  <si>
    <t>What is the current, evidence-backed value for technical owner?</t>
  </si>
  <si>
    <t>What is the current, evidence-backed value for team / function?</t>
  </si>
  <si>
    <t>What is the current, evidence-backed value for vendor / build type?</t>
  </si>
  <si>
    <t>Controlled dropdown</t>
  </si>
  <si>
    <t>What is the current, evidence-backed value for product / model / version?</t>
  </si>
  <si>
    <t>What is the current, evidence-backed value for ai type?</t>
  </si>
  <si>
    <t>What is the current, evidence-backed value for lifecycle stage?</t>
  </si>
  <si>
    <t>What is the current, evidence-backed value for deployment environment?</t>
  </si>
  <si>
    <t>What is the current, evidence-backed value for deployment status?</t>
  </si>
  <si>
    <t>What is the current, evidence-backed value for authorized users?</t>
  </si>
  <si>
    <t>What is the current, evidence-backed value for affected population?</t>
  </si>
  <si>
    <t>What is the current, evidence-backed value for data inputs?</t>
  </si>
  <si>
    <t>What is the current, evidence-backed value for data source(s)?</t>
  </si>
  <si>
    <t>What is the current, evidence-backed value for sensitive / regulated data??</t>
  </si>
  <si>
    <t>What is the current, evidence-backed value for outputs / destinations?</t>
  </si>
  <si>
    <t>What is the current, evidence-backed value for external integrations?</t>
  </si>
  <si>
    <t>What is the current, evidence-backed value for automated actions??</t>
  </si>
  <si>
    <t>What is the current, evidence-backed value for human review requirement?</t>
  </si>
  <si>
    <t>What is the current, evidence-backed value for human decision authority?</t>
  </si>
  <si>
    <t>What is the current, evidence-backed value for decision impact?</t>
  </si>
  <si>
    <t>What is the current, evidence-backed value for override / escalation mechanism?</t>
  </si>
  <si>
    <t>What is the current, evidence-backed value for ai risk tier?</t>
  </si>
  <si>
    <t>What is the current, evidence-backed value for linked ai risk register id(s)?</t>
  </si>
  <si>
    <t>What is the current, evidence-backed value for control status?</t>
  </si>
  <si>
    <t>What is the current, evidence-backed value for material control gaps?</t>
  </si>
  <si>
    <t>What is the current, evidence-backed value for ai impact assessment id?</t>
  </si>
  <si>
    <t>What is the current, evidence-backed value for model card id?</t>
  </si>
  <si>
    <t>What is the current, evidence-backed value for legal / regulatory role?</t>
  </si>
  <si>
    <t>What is the current, evidence-backed value for primary jurisdiction?</t>
  </si>
  <si>
    <t>What is the current, evidence-backed value for applicable regulation / requirement?</t>
  </si>
  <si>
    <t>What is the current, evidence-backed value for regulatory classification?</t>
  </si>
  <si>
    <t>What is the current, evidence-backed value for iso/iec 42001 linkage?</t>
  </si>
  <si>
    <t>What is the current, evidence-backed value for nist ai rmf linkage?</t>
  </si>
  <si>
    <t>What is the current, evidence-backed value for validation status?</t>
  </si>
  <si>
    <t>What is the current, evidence-backed value for performance evidence?</t>
  </si>
  <si>
    <t>What is the current, evidence-backed value for fairness / subgroup assessment?</t>
  </si>
  <si>
    <t>What is the current, evidence-backed value for explainability assessment?</t>
  </si>
  <si>
    <t>What is the current, evidence-backed value for robustness assessment?</t>
  </si>
  <si>
    <t>What is the current, evidence-backed value for clinical / domain validation?</t>
  </si>
  <si>
    <t>What is the current, evidence-backed value for approval status?</t>
  </si>
  <si>
    <t>What is the current, evidence-backed value for approving authority?</t>
  </si>
  <si>
    <t>What is the current, evidence-backed value for deployment authorization?</t>
  </si>
  <si>
    <t>What is the current, evidence-backed value for approval conditions / restrictions?</t>
  </si>
  <si>
    <t>What is the current, evidence-backed value for evidence repository / link?</t>
  </si>
  <si>
    <t>What is the current, evidence-backed value for monitoring status?</t>
  </si>
  <si>
    <t>What is the current, evidence-backed value for monitoring plan / evidence?</t>
  </si>
  <si>
    <t>What is the current, evidence-backed value for last review date?</t>
  </si>
  <si>
    <t>What is the current, evidence-backed value for next review date?</t>
  </si>
  <si>
    <t>What is the current, evidence-backed value for review status?</t>
  </si>
  <si>
    <t>Formula-driven</t>
  </si>
  <si>
    <t>What is the current, evidence-backed value for days to review?</t>
  </si>
  <si>
    <t>What is the current, evidence-backed value for reassessment triggers / notes?</t>
  </si>
  <si>
    <t>Controlled Field</t>
  </si>
  <si>
    <t>Approved Values</t>
  </si>
  <si>
    <t>Third-Party SaaS</t>
  </si>
  <si>
    <t>Embedded Vendor Feature</t>
  </si>
  <si>
    <t>Open-Source</t>
  </si>
  <si>
    <t>Hybrid</t>
  </si>
  <si>
    <t>Unknown</t>
  </si>
  <si>
    <t>Classification</t>
  </si>
  <si>
    <t>Generative AI</t>
  </si>
  <si>
    <t>Recommendation</t>
  </si>
  <si>
    <t>Computer Vision</t>
  </si>
  <si>
    <t>Speech</t>
  </si>
  <si>
    <t>Agent / Automation</t>
  </si>
  <si>
    <t>Other</t>
  </si>
  <si>
    <t>Discovery</t>
  </si>
  <si>
    <t>Development</t>
  </si>
  <si>
    <t>Pilot</t>
  </si>
  <si>
    <t>Production</t>
  </si>
  <si>
    <t>Paused</t>
  </si>
  <si>
    <t>Retired</t>
  </si>
  <si>
    <t>Private Cloud</t>
  </si>
  <si>
    <t>On-Premises</t>
  </si>
  <si>
    <t>Device</t>
  </si>
  <si>
    <t>Not Deployed</t>
  </si>
  <si>
    <t>Controlled Pilot</t>
  </si>
  <si>
    <t>Not Assessed</t>
  </si>
  <si>
    <t>Optional</t>
  </si>
  <si>
    <t>Not Required</t>
  </si>
  <si>
    <t>Informational</t>
  </si>
  <si>
    <t>Recommends</t>
  </si>
  <si>
    <t>Ranks or Scores</t>
  </si>
  <si>
    <t>Makes Decision</t>
  </si>
  <si>
    <t>Executes Action</t>
  </si>
  <si>
    <t>Unrated</t>
  </si>
  <si>
    <t>Low</t>
  </si>
  <si>
    <t>Moderate</t>
  </si>
  <si>
    <t>Critical</t>
  </si>
  <si>
    <t>None Known</t>
  </si>
  <si>
    <t>Open</t>
  </si>
  <si>
    <t>Implemented</t>
  </si>
  <si>
    <t>Accepted Exception</t>
  </si>
  <si>
    <t>Assessment in Progress</t>
  </si>
  <si>
    <t>Applicable Classification Determined</t>
  </si>
  <si>
    <t>Not Applicable</t>
  </si>
  <si>
    <t>Not Started</t>
  </si>
  <si>
    <t>Revalidation Required</t>
  </si>
  <si>
    <t>Approved</t>
  </si>
  <si>
    <t>Approved with Conditions</t>
  </si>
  <si>
    <t>Rejected</t>
  </si>
  <si>
    <t>Expired</t>
  </si>
  <si>
    <t>Conditional</t>
  </si>
  <si>
    <t>Active</t>
  </si>
  <si>
    <t>Suspended</t>
  </si>
  <si>
    <t>ANIHG AI GOVERNANCE — SYSTEM INVENTORY DASHBOARD DEVELOPED BY DR. SAMUEL ISRAEL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</si>
</sst>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 mmm\ yyyy"/>
  </numFmts>
  <fonts count="11">
    <font>
      <sz val="11"/>
      <name val="Carlito"/>
    </font>
    <font>
      <b/>
      <sz val="18"/>
      <color rgb="FFFFFFFF"/>
      <name val="Aptos"/>
    </font>
    <font>
      <i/>
      <sz val="10"/>
      <color rgb="FF1F2937"/>
      <name val="Aptos"/>
    </font>
    <font>
      <sz val="11"/>
      <name val="Aptos"/>
    </font>
    <font>
      <b/>
      <sz val="9"/>
      <color rgb="FFFFFFFF"/>
      <name val="Aptos"/>
    </font>
    <font>
      <b/>
      <sz val="11"/>
      <color rgb="FF17365D"/>
      <name val="Aptos"/>
    </font>
    <font>
      <b/>
      <sz val="18"/>
      <color rgb="FF1F2937"/>
      <name val="Aptos"/>
    </font>
    <font>
      <b/>
      <sz val="12"/>
      <color rgb="FFFFFFFF"/>
      <name val="Aptos"/>
    </font>
    <font>
      <b/>
      <sz val="11"/>
      <color rgb="FF7F1D1D"/>
      <name val="Aptos"/>
    </font>
    <font>
      <b/>
      <sz val="11"/>
      <name val="Aptos"/>
    </font>
    <font>
      <b/>
      <sz val="11"/>
      <color rgb="FFFFFFFF"/>
      <name val="Aptos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8FAFC"/>
      </patternFill>
    </fill>
    <fill>
      <patternFill patternType="solid">
        <fgColor rgb="FFC00000"/>
      </patternFill>
    </fill>
    <fill>
      <patternFill patternType="solid">
        <fgColor rgb="FFFCE8E6"/>
      </patternFill>
    </fill>
    <fill>
      <patternFill patternType="solid">
        <fgColor rgb="FFE8F1FB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4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65" fontId="3" fillId="0" borderId="0" xfId="0" applyNumberFormat="1" applyFont="1" applyAlignment="1">
      <alignment vertical="top" wrapText="1"/>
    </xf>
    <xf numFmtId="0" fontId="9" fillId="8" borderId="0" xfId="0" applyFont="1" applyFill="1" applyAlignment="1">
      <alignment vertical="top" wrapText="1"/>
    </xf>
    <xf numFmtId="0" fontId="10" fillId="9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5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18"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Governance Readiness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Completed</c:v>
          </c:tx>
          <c:invertIfNegative val="1"/>
          <c:cat>
            <c:strRef>
              <c:f>'Executive Dashboard'!$A$16:$A$21</c:f>
              <c:strCache>
                <c:ptCount val="6"/>
                <c:pt idx="0">
                  <c:v>Validation</c:v>
                </c:pt>
                <c:pt idx="1">
                  <c:v>Fairness / Subgroup</c:v>
                </c:pt>
                <c:pt idx="2">
                  <c:v>Explainability</c:v>
                </c:pt>
                <c:pt idx="3">
                  <c:v>Robustness</c:v>
                </c:pt>
                <c:pt idx="4">
                  <c:v>Clinical Validation</c:v>
                </c:pt>
                <c:pt idx="5">
                  <c:v>Monitoring Active</c:v>
                </c:pt>
              </c:strCache>
            </c:strRef>
          </c:cat>
          <c:val>
            <c:numRef>
              <c:f>'Executive Dashboard'!$B$16:$B$21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0-49F6-8B12-0D1F4ACBCB42}"/>
            </c:ext>
          </c:extLst>
        </c:ser>
        <c:ser>
          <c:idx val="1"/>
          <c:order val="1"/>
          <c:tx>
            <c:v>Outstanding</c:v>
          </c:tx>
          <c:invertIfNegative val="1"/>
          <c:cat>
            <c:strRef>
              <c:f>'Executive Dashboard'!$A$16:$A$21</c:f>
              <c:strCache>
                <c:ptCount val="6"/>
                <c:pt idx="0">
                  <c:v>Validation</c:v>
                </c:pt>
                <c:pt idx="1">
                  <c:v>Fairness / Subgroup</c:v>
                </c:pt>
                <c:pt idx="2">
                  <c:v>Explainability</c:v>
                </c:pt>
                <c:pt idx="3">
                  <c:v>Robustness</c:v>
                </c:pt>
                <c:pt idx="4">
                  <c:v>Clinical Validation</c:v>
                </c:pt>
                <c:pt idx="5">
                  <c:v>Monitoring Active</c:v>
                </c:pt>
              </c:strCache>
            </c:strRef>
          </c:cat>
          <c:val>
            <c:numRef>
              <c:f>'Executive Dashboard'!$C$16:$C$21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E0-49F6-8B12-0D1F4ACBC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IHG_AI_System_Inventory" displayName="ANIHG_AI_System_Inventory" ref="A4:BB104" totalsRowShown="0">
  <tableColumns count="54">
    <tableColumn id="1" xr3:uid="{00000000-0010-0000-0000-000001000000}" name="AI System ID"/>
    <tableColumn id="2" xr3:uid="{00000000-0010-0000-0000-000002000000}" name="AI System Name"/>
    <tableColumn id="3" xr3:uid="{00000000-0010-0000-0000-000003000000}" name="Business Purpose / Intended Use"/>
    <tableColumn id="4" xr3:uid="{00000000-0010-0000-0000-000004000000}" name="Business Owner"/>
    <tableColumn id="5" xr3:uid="{00000000-0010-0000-0000-000005000000}" name="Technical Owner"/>
    <tableColumn id="6" xr3:uid="{00000000-0010-0000-0000-000006000000}" name="Team / Function"/>
    <tableColumn id="7" xr3:uid="{00000000-0010-0000-0000-000007000000}" name="Vendor / Build Type"/>
    <tableColumn id="8" xr3:uid="{00000000-0010-0000-0000-000008000000}" name="Product / Model / Version"/>
    <tableColumn id="9" xr3:uid="{00000000-0010-0000-0000-000009000000}" name="AI Type"/>
    <tableColumn id="10" xr3:uid="{00000000-0010-0000-0000-00000A000000}" name="Lifecycle Stage"/>
    <tableColumn id="11" xr3:uid="{00000000-0010-0000-0000-00000B000000}" name="Deployment Environment"/>
    <tableColumn id="12" xr3:uid="{00000000-0010-0000-0000-00000C000000}" name="Deployment Status"/>
    <tableColumn id="13" xr3:uid="{00000000-0010-0000-0000-00000D000000}" name="Authorized Users"/>
    <tableColumn id="14" xr3:uid="{00000000-0010-0000-0000-00000E000000}" name="Affected Population"/>
    <tableColumn id="15" xr3:uid="{00000000-0010-0000-0000-00000F000000}" name="Data Inputs"/>
    <tableColumn id="16" xr3:uid="{00000000-0010-0000-0000-000010000000}" name="Data Source(s)"/>
    <tableColumn id="17" xr3:uid="{00000000-0010-0000-0000-000011000000}" name="Sensitive / Regulated Data?"/>
    <tableColumn id="18" xr3:uid="{00000000-0010-0000-0000-000012000000}" name="Outputs / Destinations"/>
    <tableColumn id="19" xr3:uid="{00000000-0010-0000-0000-000013000000}" name="External Integrations"/>
    <tableColumn id="20" xr3:uid="{00000000-0010-0000-0000-000014000000}" name="Automated Actions?"/>
    <tableColumn id="21" xr3:uid="{00000000-0010-0000-0000-000015000000}" name="Human Review Requirement"/>
    <tableColumn id="22" xr3:uid="{00000000-0010-0000-0000-000016000000}" name="Human Decision Authority"/>
    <tableColumn id="23" xr3:uid="{00000000-0010-0000-0000-000017000000}" name="Decision Impact"/>
    <tableColumn id="24" xr3:uid="{00000000-0010-0000-0000-000018000000}" name="Override / Escalation Mechanism"/>
    <tableColumn id="25" xr3:uid="{00000000-0010-0000-0000-000019000000}" name="AI Risk Tier"/>
    <tableColumn id="26" xr3:uid="{00000000-0010-0000-0000-00001A000000}" name="Linked AI Risk Register ID(s)"/>
    <tableColumn id="27" xr3:uid="{00000000-0010-0000-0000-00001B000000}" name="Control Status"/>
    <tableColumn id="28" xr3:uid="{00000000-0010-0000-0000-00001C000000}" name="Material Control Gaps"/>
    <tableColumn id="29" xr3:uid="{00000000-0010-0000-0000-00001D000000}" name="AI Impact Assessment ID"/>
    <tableColumn id="30" xr3:uid="{00000000-0010-0000-0000-00001E000000}" name="Model Card ID"/>
    <tableColumn id="31" xr3:uid="{00000000-0010-0000-0000-00001F000000}" name="Legal / Regulatory Role"/>
    <tableColumn id="32" xr3:uid="{00000000-0010-0000-0000-000020000000}" name="Primary Jurisdiction"/>
    <tableColumn id="33" xr3:uid="{00000000-0010-0000-0000-000021000000}" name="Applicable Regulation / Requirement"/>
    <tableColumn id="34" xr3:uid="{00000000-0010-0000-0000-000022000000}" name="Regulatory Classification"/>
    <tableColumn id="35" xr3:uid="{00000000-0010-0000-0000-000023000000}" name="ISO/IEC 42001 Linkage"/>
    <tableColumn id="36" xr3:uid="{00000000-0010-0000-0000-000024000000}" name="NIST AI RMF Linkage"/>
    <tableColumn id="37" xr3:uid="{00000000-0010-0000-0000-000025000000}" name="Validation Status"/>
    <tableColumn id="38" xr3:uid="{00000000-0010-0000-0000-000026000000}" name="Performance Evidence"/>
    <tableColumn id="39" xr3:uid="{00000000-0010-0000-0000-000027000000}" name="Fairness / Subgroup Assessment"/>
    <tableColumn id="40" xr3:uid="{00000000-0010-0000-0000-000028000000}" name="Explainability Assessment"/>
    <tableColumn id="41" xr3:uid="{00000000-0010-0000-0000-000029000000}" name="Robustness Assessment"/>
    <tableColumn id="42" xr3:uid="{00000000-0010-0000-0000-00002A000000}" name="Clinical / Domain Validation"/>
    <tableColumn id="43" xr3:uid="{00000000-0010-0000-0000-00002B000000}" name="Approval Status"/>
    <tableColumn id="44" xr3:uid="{00000000-0010-0000-0000-00002C000000}" name="Approving Authority"/>
    <tableColumn id="45" xr3:uid="{00000000-0010-0000-0000-00002D000000}" name="Deployment Authorization"/>
    <tableColumn id="46" xr3:uid="{00000000-0010-0000-0000-00002E000000}" name="Approval Conditions / Restrictions"/>
    <tableColumn id="47" xr3:uid="{00000000-0010-0000-0000-00002F000000}" name="Evidence Repository / Link"/>
    <tableColumn id="48" xr3:uid="{00000000-0010-0000-0000-000030000000}" name="Monitoring Status"/>
    <tableColumn id="49" xr3:uid="{00000000-0010-0000-0000-000031000000}" name="Monitoring Plan / Evidence"/>
    <tableColumn id="50" xr3:uid="{00000000-0010-0000-0000-000032000000}" name="Last Review Date"/>
    <tableColumn id="51" xr3:uid="{00000000-0010-0000-0000-000033000000}" name="Next Review Date"/>
    <tableColumn id="52" xr3:uid="{00000000-0010-0000-0000-000034000000}" name="Review Status"/>
    <tableColumn id="53" xr3:uid="{00000000-0010-0000-0000-000035000000}" name="Days to Review"/>
    <tableColumn id="54" xr3:uid="{00000000-0010-0000-0000-000036000000}" name="Reassessment Triggers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4"/>
  <sheetViews>
    <sheetView tabSelected="1" workbookViewId="0">
      <selection sqref="A1:H1"/>
    </sheetView>
  </sheetViews>
  <sheetFormatPr defaultRowHeight="13.8"/>
  <cols>
    <col min="1" max="1" width="22" customWidth="1"/>
    <col min="2" max="2" width="12" customWidth="1"/>
    <col min="3" max="3" width="22" customWidth="1"/>
    <col min="4" max="4" width="12" customWidth="1"/>
    <col min="5" max="5" width="22" customWidth="1"/>
    <col min="6" max="6" width="12" customWidth="1"/>
    <col min="7" max="7" width="22" customWidth="1"/>
    <col min="8" max="8" width="12" customWidth="1"/>
  </cols>
  <sheetData>
    <row r="1" spans="1:54" ht="23.4">
      <c r="A1" s="11" t="s">
        <v>317</v>
      </c>
      <c r="B1" s="11"/>
      <c r="C1" s="11"/>
      <c r="D1" s="11"/>
      <c r="E1" s="11"/>
      <c r="F1" s="11"/>
      <c r="G1" s="11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14.4">
      <c r="A2" s="12" t="s">
        <v>0</v>
      </c>
      <c r="B2" s="12"/>
      <c r="C2" s="12"/>
      <c r="D2" s="12"/>
      <c r="E2" s="12"/>
      <c r="F2" s="12"/>
      <c r="G2" s="12"/>
      <c r="H2" s="1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ht="14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ht="14.4">
      <c r="A4" s="13" t="s">
        <v>1</v>
      </c>
      <c r="B4" s="13"/>
      <c r="C4" s="13" t="s">
        <v>2</v>
      </c>
      <c r="D4" s="13"/>
      <c r="E4" s="13" t="s">
        <v>3</v>
      </c>
      <c r="F4" s="13"/>
      <c r="G4" s="13" t="s">
        <v>4</v>
      </c>
      <c r="H4" s="1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3.4">
      <c r="A5" s="14">
        <f>COUNTA('AI System Inventory'!$A$5:$A$104)</f>
        <v>2</v>
      </c>
      <c r="B5" s="14"/>
      <c r="C5" s="14">
        <f>COUNTIF('AI System Inventory'!$L$5:$L$104,"Production")</f>
        <v>0</v>
      </c>
      <c r="D5" s="14"/>
      <c r="E5" s="14">
        <f>COUNTIF('AI System Inventory'!$Y$5:$Y$104,"High")+COUNTIF('AI System Inventory'!$Y$5:$Y$104,"Critical")</f>
        <v>2</v>
      </c>
      <c r="F5" s="14"/>
      <c r="G5" s="14">
        <f>COUNTIF('AI System Inventory'!$AQ$5:$AQ$104,"Pending")+COUNTIF('AI System Inventory'!$AQ$5:$AQ$104,"Under Review")</f>
        <v>2</v>
      </c>
      <c r="H5" s="1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ht="14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ht="14.4">
      <c r="A7" s="13" t="s">
        <v>5</v>
      </c>
      <c r="B7" s="13"/>
      <c r="C7" s="13" t="s">
        <v>6</v>
      </c>
      <c r="D7" s="13"/>
      <c r="E7" s="13" t="s">
        <v>7</v>
      </c>
      <c r="F7" s="13"/>
      <c r="G7" s="13" t="s">
        <v>8</v>
      </c>
      <c r="H7" s="1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ht="23.4">
      <c r="A8" s="14">
        <f>COUNTIF('AI System Inventory'!$AS$5:$AS$104,"Yes")</f>
        <v>0</v>
      </c>
      <c r="B8" s="14"/>
      <c r="C8" s="14">
        <f>COUNTIF('AI System Inventory'!$AS$5:$AS$104,"No")</f>
        <v>2</v>
      </c>
      <c r="D8" s="14"/>
      <c r="E8" s="14">
        <f>COUNTIF('AI System Inventory'!$AA$5:$AA$104,"Open")+COUNTIF('AI System Inventory'!$AA$5:$AA$104,"In Progress")</f>
        <v>2</v>
      </c>
      <c r="F8" s="14"/>
      <c r="G8" s="14">
        <f ca="1">COUNTIF('AI System Inventory'!$AZ$5:$AZ$104,"Overdue")</f>
        <v>0</v>
      </c>
      <c r="H8" s="1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ht="14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ht="15.6">
      <c r="A10" s="15" t="s">
        <v>9</v>
      </c>
      <c r="B10" s="15"/>
      <c r="C10" s="15"/>
      <c r="D10" s="15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14.4">
      <c r="A11" s="16" t="str">
        <f ca="1">IF(OR(E8&gt;0,G8&gt;0,G5&gt;0),"ACTIVE — Review blocked deployment, incomplete controls/assurance, and pending governance decisions.","No priority governance alert.")</f>
        <v>ACTIVE — Review blocked deployment, incomplete controls/assurance, and pending governance decisions.</v>
      </c>
      <c r="B11" s="16"/>
      <c r="C11" s="16"/>
      <c r="D11" s="16"/>
      <c r="E11" s="16"/>
      <c r="F11" s="16"/>
      <c r="G11" s="16"/>
      <c r="H11" s="1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ht="14.4">
      <c r="A12" s="16"/>
      <c r="B12" s="16"/>
      <c r="C12" s="16"/>
      <c r="D12" s="16"/>
      <c r="E12" s="16"/>
      <c r="F12" s="16"/>
      <c r="G12" s="16"/>
      <c r="H12" s="1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ht="14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ht="14.4">
      <c r="A15" s="6" t="s">
        <v>10</v>
      </c>
      <c r="B15" s="6" t="s">
        <v>11</v>
      </c>
      <c r="C15" s="6" t="s">
        <v>12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ht="14.4">
      <c r="A16" s="7" t="s">
        <v>13</v>
      </c>
      <c r="B16" s="7">
        <f>COUNTIF('AI System Inventory'!$AK$5:$AK$104,"Completed")</f>
        <v>1</v>
      </c>
      <c r="C16" s="7">
        <f>COUNTA('AI System Inventory'!$A$5:$A$104)-B16</f>
        <v>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ht="14.4">
      <c r="A17" s="7" t="s">
        <v>14</v>
      </c>
      <c r="B17" s="7">
        <f>COUNTIF('AI System Inventory'!$AM$5:$AM$104,"Completed")</f>
        <v>2</v>
      </c>
      <c r="C17" s="7">
        <f>COUNTA('AI System Inventory'!$A$5:$A$104)-B17</f>
        <v>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ht="14.4">
      <c r="A18" s="7" t="s">
        <v>15</v>
      </c>
      <c r="B18" s="7">
        <f>COUNTIF('AI System Inventory'!$AN$5:$AN$104,"Completed")</f>
        <v>2</v>
      </c>
      <c r="C18" s="7">
        <f>COUNTA('AI System Inventory'!$A$5:$A$104)-B18</f>
        <v>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ht="14.4">
      <c r="A19" s="7" t="s">
        <v>16</v>
      </c>
      <c r="B19" s="7">
        <f>COUNTIF('AI System Inventory'!$AO$5:$AO$104,"Completed")</f>
        <v>2</v>
      </c>
      <c r="C19" s="7">
        <f>COUNTA('AI System Inventory'!$A$5:$A$104)-B19</f>
        <v>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ht="14.4">
      <c r="A20" s="7" t="s">
        <v>17</v>
      </c>
      <c r="B20" s="7">
        <f>COUNTIF('AI System Inventory'!$AP$5:$AP$104,"Completed")</f>
        <v>0</v>
      </c>
      <c r="C20" s="7">
        <f>COUNTA('AI System Inventory'!$A$5:$A$104)-B20</f>
        <v>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ht="14.4">
      <c r="A21" s="7" t="s">
        <v>18</v>
      </c>
      <c r="B21" s="7">
        <f>COUNTIF('AI System Inventory'!$AV$5:$AV$104,"Active")</f>
        <v>0</v>
      </c>
      <c r="C21" s="7">
        <f>COUNTA('AI System Inventory'!$A$5:$A$104)-B21</f>
        <v>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 ht="14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 ht="14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 ht="14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 ht="14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</sheetData>
  <mergeCells count="20">
    <mergeCell ref="G7:H7"/>
    <mergeCell ref="G8:H8"/>
    <mergeCell ref="A10:H10"/>
    <mergeCell ref="A11:H12"/>
    <mergeCell ref="A7:B7"/>
    <mergeCell ref="A8:B8"/>
    <mergeCell ref="C7:D7"/>
    <mergeCell ref="C8:D8"/>
    <mergeCell ref="E7:F7"/>
    <mergeCell ref="E8:F8"/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04"/>
  <sheetViews>
    <sheetView zoomScale="162" zoomScaleNormal="162" workbookViewId="0">
      <selection sqref="A1:BB1"/>
    </sheetView>
  </sheetViews>
  <sheetFormatPr defaultRowHeight="13.8"/>
  <cols>
    <col min="1" max="1" width="17" customWidth="1"/>
    <col min="2" max="3" width="28" customWidth="1"/>
    <col min="4" max="6" width="16" customWidth="1"/>
    <col min="7" max="7" width="17" customWidth="1"/>
    <col min="8" max="8" width="16" customWidth="1"/>
    <col min="9" max="12" width="17" customWidth="1"/>
    <col min="13" max="16" width="28" customWidth="1"/>
    <col min="17" max="17" width="17" customWidth="1"/>
    <col min="18" max="18" width="28" customWidth="1"/>
    <col min="19" max="19" width="16" customWidth="1"/>
    <col min="20" max="21" width="17" customWidth="1"/>
    <col min="22" max="22" width="16" customWidth="1"/>
    <col min="23" max="23" width="17" customWidth="1"/>
    <col min="24" max="24" width="28" customWidth="1"/>
    <col min="25" max="25" width="17" customWidth="1"/>
    <col min="26" max="26" width="16" customWidth="1"/>
    <col min="27" max="27" width="17" customWidth="1"/>
    <col min="28" max="28" width="28" customWidth="1"/>
    <col min="29" max="32" width="16" customWidth="1"/>
    <col min="33" max="33" width="28" customWidth="1"/>
    <col min="34" max="34" width="17" customWidth="1"/>
    <col min="35" max="35" width="28" customWidth="1"/>
    <col min="36" max="36" width="16" customWidth="1"/>
    <col min="37" max="37" width="17" customWidth="1"/>
    <col min="38" max="38" width="28" customWidth="1"/>
    <col min="39" max="43" width="17" customWidth="1"/>
    <col min="44" max="44" width="28" customWidth="1"/>
    <col min="45" max="45" width="17" customWidth="1"/>
    <col min="46" max="47" width="28" customWidth="1"/>
    <col min="48" max="48" width="17" customWidth="1"/>
    <col min="49" max="49" width="28" customWidth="1"/>
    <col min="50" max="51" width="16" customWidth="1"/>
    <col min="52" max="53" width="17" customWidth="1"/>
    <col min="54" max="54" width="28" customWidth="1"/>
  </cols>
  <sheetData>
    <row r="1" spans="1:54" ht="20.85" customHeight="1">
      <c r="A1" s="11" t="s">
        <v>19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</row>
    <row r="2" spans="1:54" ht="20.85" customHeight="1">
      <c r="A2" s="12" t="s">
        <v>20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</row>
    <row r="3" spans="1:54" ht="14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ht="33.6" customHeight="1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35</v>
      </c>
      <c r="P4" s="3" t="s">
        <v>36</v>
      </c>
      <c r="Q4" s="3" t="s">
        <v>37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  <c r="W4" s="3" t="s">
        <v>43</v>
      </c>
      <c r="X4" s="3" t="s">
        <v>44</v>
      </c>
      <c r="Y4" s="3" t="s">
        <v>45</v>
      </c>
      <c r="Z4" s="3" t="s">
        <v>46</v>
      </c>
      <c r="AA4" s="3" t="s">
        <v>47</v>
      </c>
      <c r="AB4" s="3" t="s">
        <v>48</v>
      </c>
      <c r="AC4" s="3" t="s">
        <v>49</v>
      </c>
      <c r="AD4" s="3" t="s">
        <v>50</v>
      </c>
      <c r="AE4" s="3" t="s">
        <v>51</v>
      </c>
      <c r="AF4" s="3" t="s">
        <v>52</v>
      </c>
      <c r="AG4" s="3" t="s">
        <v>53</v>
      </c>
      <c r="AH4" s="3" t="s">
        <v>54</v>
      </c>
      <c r="AI4" s="3" t="s">
        <v>55</v>
      </c>
      <c r="AJ4" s="3" t="s">
        <v>56</v>
      </c>
      <c r="AK4" s="3" t="s">
        <v>57</v>
      </c>
      <c r="AL4" s="3" t="s">
        <v>58</v>
      </c>
      <c r="AM4" s="3" t="s">
        <v>59</v>
      </c>
      <c r="AN4" s="3" t="s">
        <v>60</v>
      </c>
      <c r="AO4" s="3" t="s">
        <v>61</v>
      </c>
      <c r="AP4" s="3" t="s">
        <v>62</v>
      </c>
      <c r="AQ4" s="3" t="s">
        <v>63</v>
      </c>
      <c r="AR4" s="3" t="s">
        <v>64</v>
      </c>
      <c r="AS4" s="3" t="s">
        <v>65</v>
      </c>
      <c r="AT4" s="3" t="s">
        <v>66</v>
      </c>
      <c r="AU4" s="3" t="s">
        <v>67</v>
      </c>
      <c r="AV4" s="3" t="s">
        <v>68</v>
      </c>
      <c r="AW4" s="3" t="s">
        <v>69</v>
      </c>
      <c r="AX4" s="3" t="s">
        <v>70</v>
      </c>
      <c r="AY4" s="3" t="s">
        <v>71</v>
      </c>
      <c r="AZ4" s="3" t="s">
        <v>72</v>
      </c>
      <c r="BA4" s="3" t="s">
        <v>73</v>
      </c>
      <c r="BB4" s="3" t="s">
        <v>74</v>
      </c>
    </row>
    <row r="5" spans="1:54" ht="72" customHeight="1">
      <c r="A5" s="4" t="s">
        <v>75</v>
      </c>
      <c r="B5" s="4" t="s">
        <v>76</v>
      </c>
      <c r="C5" s="4" t="s">
        <v>77</v>
      </c>
      <c r="D5" s="4" t="s">
        <v>78</v>
      </c>
      <c r="E5" s="4" t="s">
        <v>79</v>
      </c>
      <c r="F5" s="4" t="s">
        <v>80</v>
      </c>
      <c r="G5" s="4" t="s">
        <v>81</v>
      </c>
      <c r="H5" s="4" t="s">
        <v>82</v>
      </c>
      <c r="I5" s="4" t="s">
        <v>83</v>
      </c>
      <c r="J5" s="4" t="s">
        <v>13</v>
      </c>
      <c r="K5" s="4" t="s">
        <v>84</v>
      </c>
      <c r="L5" s="4" t="s">
        <v>85</v>
      </c>
      <c r="M5" s="4" t="s">
        <v>86</v>
      </c>
      <c r="N5" s="4" t="s">
        <v>87</v>
      </c>
      <c r="O5" s="4" t="s">
        <v>88</v>
      </c>
      <c r="P5" s="4" t="s">
        <v>89</v>
      </c>
      <c r="Q5" s="4" t="s">
        <v>90</v>
      </c>
      <c r="R5" s="4" t="s">
        <v>91</v>
      </c>
      <c r="S5" s="4" t="s">
        <v>92</v>
      </c>
      <c r="T5" s="4" t="s">
        <v>93</v>
      </c>
      <c r="U5" s="4" t="s">
        <v>94</v>
      </c>
      <c r="V5" s="4" t="s">
        <v>95</v>
      </c>
      <c r="W5" s="4" t="s">
        <v>96</v>
      </c>
      <c r="X5" s="4" t="s">
        <v>97</v>
      </c>
      <c r="Y5" s="4" t="s">
        <v>98</v>
      </c>
      <c r="Z5" s="4" t="s">
        <v>99</v>
      </c>
      <c r="AA5" s="4" t="s">
        <v>100</v>
      </c>
      <c r="AB5" s="4" t="s">
        <v>101</v>
      </c>
      <c r="AC5" s="4" t="s">
        <v>102</v>
      </c>
      <c r="AD5" s="4" t="s">
        <v>103</v>
      </c>
      <c r="AE5" s="4" t="s">
        <v>104</v>
      </c>
      <c r="AF5" s="4" t="s">
        <v>105</v>
      </c>
      <c r="AG5" s="4" t="s">
        <v>106</v>
      </c>
      <c r="AH5" s="4" t="s">
        <v>107</v>
      </c>
      <c r="AI5" s="4" t="s">
        <v>108</v>
      </c>
      <c r="AJ5" s="4" t="s">
        <v>109</v>
      </c>
      <c r="AK5" s="4" t="s">
        <v>100</v>
      </c>
      <c r="AL5" s="4" t="s">
        <v>110</v>
      </c>
      <c r="AM5" s="4" t="s">
        <v>11</v>
      </c>
      <c r="AN5" s="4" t="s">
        <v>11</v>
      </c>
      <c r="AO5" s="4" t="s">
        <v>11</v>
      </c>
      <c r="AP5" s="4" t="s">
        <v>100</v>
      </c>
      <c r="AQ5" s="4" t="s">
        <v>111</v>
      </c>
      <c r="AR5" s="4" t="s">
        <v>112</v>
      </c>
      <c r="AS5" s="4" t="s">
        <v>93</v>
      </c>
      <c r="AT5" s="4" t="s">
        <v>113</v>
      </c>
      <c r="AU5" s="4" t="s">
        <v>114</v>
      </c>
      <c r="AV5" s="4" t="s">
        <v>115</v>
      </c>
      <c r="AW5" s="4" t="s">
        <v>116</v>
      </c>
      <c r="AX5" s="5">
        <v>46297</v>
      </c>
      <c r="AY5" s="5"/>
      <c r="AZ5" s="4" t="str">
        <f t="shared" ref="AZ5:AZ36" ca="1" si="0">IF(A5="","",IF(AY5="","No Date",IF(AY5&lt;TODAY(),"Overdue",IF(AY5&lt;=TODAY()+30,"Due Soon","Current"))))</f>
        <v>No Date</v>
      </c>
      <c r="BA5" s="4" t="str">
        <f t="shared" ref="BA5:BA36" ca="1" si="1">IF(A5="","",IF(AY5="","",AY5-TODAY()))</f>
        <v/>
      </c>
      <c r="BB5" s="4" t="s">
        <v>117</v>
      </c>
    </row>
    <row r="6" spans="1:54" ht="52.8" customHeight="1">
      <c r="A6" s="9" t="s">
        <v>118</v>
      </c>
      <c r="B6" s="9" t="s">
        <v>119</v>
      </c>
      <c r="C6" s="4" t="s">
        <v>120</v>
      </c>
      <c r="D6" s="4" t="s">
        <v>121</v>
      </c>
      <c r="E6" s="4" t="s">
        <v>122</v>
      </c>
      <c r="F6" s="4" t="s">
        <v>123</v>
      </c>
      <c r="G6" s="4" t="s">
        <v>81</v>
      </c>
      <c r="H6" s="4" t="s">
        <v>124</v>
      </c>
      <c r="I6" s="4" t="s">
        <v>83</v>
      </c>
      <c r="J6" s="4" t="s">
        <v>13</v>
      </c>
      <c r="K6" s="4" t="s">
        <v>125</v>
      </c>
      <c r="L6" s="4" t="s">
        <v>85</v>
      </c>
      <c r="M6" s="4" t="s">
        <v>126</v>
      </c>
      <c r="N6" s="4" t="s">
        <v>127</v>
      </c>
      <c r="O6" s="4" t="s">
        <v>128</v>
      </c>
      <c r="P6" s="4" t="s">
        <v>129</v>
      </c>
      <c r="Q6" s="4" t="s">
        <v>90</v>
      </c>
      <c r="R6" s="4" t="s">
        <v>130</v>
      </c>
      <c r="S6" s="4" t="s">
        <v>131</v>
      </c>
      <c r="T6" s="4" t="s">
        <v>93</v>
      </c>
      <c r="U6" s="4" t="s">
        <v>132</v>
      </c>
      <c r="V6" s="4" t="s">
        <v>133</v>
      </c>
      <c r="W6" s="4" t="s">
        <v>96</v>
      </c>
      <c r="X6" s="4" t="s">
        <v>134</v>
      </c>
      <c r="Y6" s="4" t="s">
        <v>98</v>
      </c>
      <c r="Z6" s="4" t="s">
        <v>135</v>
      </c>
      <c r="AA6" s="4" t="s">
        <v>100</v>
      </c>
      <c r="AB6" s="4" t="s">
        <v>136</v>
      </c>
      <c r="AC6" s="4" t="s">
        <v>137</v>
      </c>
      <c r="AD6" s="4" t="s">
        <v>138</v>
      </c>
      <c r="AE6" s="4" t="s">
        <v>139</v>
      </c>
      <c r="AF6" s="4" t="s">
        <v>140</v>
      </c>
      <c r="AG6" s="4" t="s">
        <v>141</v>
      </c>
      <c r="AH6" s="4" t="s">
        <v>107</v>
      </c>
      <c r="AI6" s="4" t="s">
        <v>142</v>
      </c>
      <c r="AJ6" s="4" t="s">
        <v>109</v>
      </c>
      <c r="AK6" s="4" t="s">
        <v>11</v>
      </c>
      <c r="AL6" s="4" t="s">
        <v>143</v>
      </c>
      <c r="AM6" s="4" t="s">
        <v>11</v>
      </c>
      <c r="AN6" s="4" t="s">
        <v>11</v>
      </c>
      <c r="AO6" s="4" t="s">
        <v>11</v>
      </c>
      <c r="AP6" s="4" t="s">
        <v>100</v>
      </c>
      <c r="AQ6" s="4" t="s">
        <v>111</v>
      </c>
      <c r="AR6" s="4" t="s">
        <v>144</v>
      </c>
      <c r="AS6" s="4" t="s">
        <v>93</v>
      </c>
      <c r="AT6" s="4" t="s">
        <v>145</v>
      </c>
      <c r="AU6" s="4" t="s">
        <v>146</v>
      </c>
      <c r="AV6" s="4" t="s">
        <v>147</v>
      </c>
      <c r="AW6" s="4" t="s">
        <v>148</v>
      </c>
      <c r="AX6" s="8">
        <v>46305</v>
      </c>
      <c r="AY6" s="8"/>
      <c r="AZ6" s="4" t="str">
        <f t="shared" ca="1" si="0"/>
        <v>No Date</v>
      </c>
      <c r="BA6" s="4" t="str">
        <f t="shared" ca="1" si="1"/>
        <v/>
      </c>
      <c r="BB6" s="4" t="s">
        <v>149</v>
      </c>
    </row>
    <row r="7" spans="1:54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5"/>
      <c r="AY7" s="5"/>
      <c r="AZ7" s="4" t="str">
        <f t="shared" ca="1" si="0"/>
        <v/>
      </c>
      <c r="BA7" s="4" t="str">
        <f t="shared" ca="1" si="1"/>
        <v/>
      </c>
      <c r="BB7" s="4"/>
    </row>
    <row r="8" spans="1:54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5"/>
      <c r="AY8" s="5"/>
      <c r="AZ8" s="4" t="str">
        <f t="shared" ca="1" si="0"/>
        <v/>
      </c>
      <c r="BA8" s="4" t="str">
        <f t="shared" ca="1" si="1"/>
        <v/>
      </c>
      <c r="BB8" s="4"/>
    </row>
    <row r="9" spans="1:54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5"/>
      <c r="AY9" s="5"/>
      <c r="AZ9" s="4" t="str">
        <f t="shared" ca="1" si="0"/>
        <v/>
      </c>
      <c r="BA9" s="4" t="str">
        <f t="shared" ca="1" si="1"/>
        <v/>
      </c>
      <c r="BB9" s="4"/>
    </row>
    <row r="10" spans="1:54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5"/>
      <c r="AY10" s="5"/>
      <c r="AZ10" s="4" t="str">
        <f t="shared" ca="1" si="0"/>
        <v/>
      </c>
      <c r="BA10" s="4" t="str">
        <f t="shared" ca="1" si="1"/>
        <v/>
      </c>
      <c r="BB10" s="4"/>
    </row>
    <row r="11" spans="1:54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5"/>
      <c r="AY11" s="5"/>
      <c r="AZ11" s="4" t="str">
        <f t="shared" ca="1" si="0"/>
        <v/>
      </c>
      <c r="BA11" s="4" t="str">
        <f t="shared" ca="1" si="1"/>
        <v/>
      </c>
      <c r="BB11" s="4"/>
    </row>
    <row r="12" spans="1:54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5"/>
      <c r="AY12" s="5"/>
      <c r="AZ12" s="4" t="str">
        <f t="shared" ca="1" si="0"/>
        <v/>
      </c>
      <c r="BA12" s="4" t="str">
        <f t="shared" ca="1" si="1"/>
        <v/>
      </c>
      <c r="BB12" s="4"/>
    </row>
    <row r="13" spans="1:54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5"/>
      <c r="AY13" s="5"/>
      <c r="AZ13" s="4" t="str">
        <f t="shared" ca="1" si="0"/>
        <v/>
      </c>
      <c r="BA13" s="4" t="str">
        <f t="shared" ca="1" si="1"/>
        <v/>
      </c>
      <c r="BB13" s="4"/>
    </row>
    <row r="14" spans="1:54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5"/>
      <c r="AY14" s="5"/>
      <c r="AZ14" s="4" t="str">
        <f t="shared" ca="1" si="0"/>
        <v/>
      </c>
      <c r="BA14" s="4" t="str">
        <f t="shared" ca="1" si="1"/>
        <v/>
      </c>
      <c r="BB14" s="4"/>
    </row>
    <row r="15" spans="1:54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5"/>
      <c r="AY15" s="5"/>
      <c r="AZ15" s="4" t="str">
        <f t="shared" ca="1" si="0"/>
        <v/>
      </c>
      <c r="BA15" s="4" t="str">
        <f t="shared" ca="1" si="1"/>
        <v/>
      </c>
      <c r="BB15" s="4"/>
    </row>
    <row r="16" spans="1:54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5"/>
      <c r="AY16" s="5"/>
      <c r="AZ16" s="4" t="str">
        <f t="shared" ca="1" si="0"/>
        <v/>
      </c>
      <c r="BA16" s="4" t="str">
        <f t="shared" ca="1" si="1"/>
        <v/>
      </c>
      <c r="BB16" s="4"/>
    </row>
    <row r="17" spans="1:54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5"/>
      <c r="AY17" s="5"/>
      <c r="AZ17" s="4" t="str">
        <f t="shared" ca="1" si="0"/>
        <v/>
      </c>
      <c r="BA17" s="4" t="str">
        <f t="shared" ca="1" si="1"/>
        <v/>
      </c>
      <c r="BB17" s="4"/>
    </row>
    <row r="18" spans="1:54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5"/>
      <c r="AY18" s="5"/>
      <c r="AZ18" s="4" t="str">
        <f t="shared" ca="1" si="0"/>
        <v/>
      </c>
      <c r="BA18" s="4" t="str">
        <f t="shared" ca="1" si="1"/>
        <v/>
      </c>
      <c r="BB18" s="4"/>
    </row>
    <row r="19" spans="1:54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5"/>
      <c r="AY19" s="5"/>
      <c r="AZ19" s="4" t="str">
        <f t="shared" ca="1" si="0"/>
        <v/>
      </c>
      <c r="BA19" s="4" t="str">
        <f t="shared" ca="1" si="1"/>
        <v/>
      </c>
      <c r="BB19" s="4"/>
    </row>
    <row r="20" spans="1:54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5"/>
      <c r="AY20" s="5"/>
      <c r="AZ20" s="4" t="str">
        <f t="shared" ca="1" si="0"/>
        <v/>
      </c>
      <c r="BA20" s="4" t="str">
        <f t="shared" ca="1" si="1"/>
        <v/>
      </c>
      <c r="BB20" s="4"/>
    </row>
    <row r="21" spans="1:54" ht="14.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5"/>
      <c r="AY21" s="5"/>
      <c r="AZ21" s="4" t="str">
        <f t="shared" ca="1" si="0"/>
        <v/>
      </c>
      <c r="BA21" s="4" t="str">
        <f t="shared" ca="1" si="1"/>
        <v/>
      </c>
      <c r="BB21" s="4"/>
    </row>
    <row r="22" spans="1:54" ht="14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5"/>
      <c r="AY22" s="5"/>
      <c r="AZ22" s="4" t="str">
        <f t="shared" ca="1" si="0"/>
        <v/>
      </c>
      <c r="BA22" s="4" t="str">
        <f t="shared" ca="1" si="1"/>
        <v/>
      </c>
      <c r="BB22" s="4"/>
    </row>
    <row r="23" spans="1:54" ht="14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5"/>
      <c r="AY23" s="5"/>
      <c r="AZ23" s="4" t="str">
        <f t="shared" ca="1" si="0"/>
        <v/>
      </c>
      <c r="BA23" s="4" t="str">
        <f t="shared" ca="1" si="1"/>
        <v/>
      </c>
      <c r="BB23" s="4"/>
    </row>
    <row r="24" spans="1:54" ht="14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5"/>
      <c r="AY24" s="5"/>
      <c r="AZ24" s="4" t="str">
        <f t="shared" ca="1" si="0"/>
        <v/>
      </c>
      <c r="BA24" s="4" t="str">
        <f t="shared" ca="1" si="1"/>
        <v/>
      </c>
      <c r="BB24" s="4"/>
    </row>
    <row r="25" spans="1:54" ht="14.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5"/>
      <c r="AY25" s="5"/>
      <c r="AZ25" s="4" t="str">
        <f t="shared" ca="1" si="0"/>
        <v/>
      </c>
      <c r="BA25" s="4" t="str">
        <f t="shared" ca="1" si="1"/>
        <v/>
      </c>
      <c r="BB25" s="4"/>
    </row>
    <row r="26" spans="1:54" ht="14.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5"/>
      <c r="AY26" s="5"/>
      <c r="AZ26" s="4" t="str">
        <f t="shared" ca="1" si="0"/>
        <v/>
      </c>
      <c r="BA26" s="4" t="str">
        <f t="shared" ca="1" si="1"/>
        <v/>
      </c>
      <c r="BB26" s="4"/>
    </row>
    <row r="27" spans="1:54" ht="14.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5"/>
      <c r="AY27" s="5"/>
      <c r="AZ27" s="4" t="str">
        <f t="shared" ca="1" si="0"/>
        <v/>
      </c>
      <c r="BA27" s="4" t="str">
        <f t="shared" ca="1" si="1"/>
        <v/>
      </c>
      <c r="BB27" s="4"/>
    </row>
    <row r="28" spans="1:54" ht="14.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5"/>
      <c r="AY28" s="5"/>
      <c r="AZ28" s="4" t="str">
        <f t="shared" ca="1" si="0"/>
        <v/>
      </c>
      <c r="BA28" s="4" t="str">
        <f t="shared" ca="1" si="1"/>
        <v/>
      </c>
      <c r="BB28" s="4"/>
    </row>
    <row r="29" spans="1:54" ht="14.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5"/>
      <c r="AY29" s="5"/>
      <c r="AZ29" s="4" t="str">
        <f t="shared" ca="1" si="0"/>
        <v/>
      </c>
      <c r="BA29" s="4" t="str">
        <f t="shared" ca="1" si="1"/>
        <v/>
      </c>
      <c r="BB29" s="4"/>
    </row>
    <row r="30" spans="1:54" ht="14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5"/>
      <c r="AY30" s="5"/>
      <c r="AZ30" s="4" t="str">
        <f t="shared" ca="1" si="0"/>
        <v/>
      </c>
      <c r="BA30" s="4" t="str">
        <f t="shared" ca="1" si="1"/>
        <v/>
      </c>
      <c r="BB30" s="4"/>
    </row>
    <row r="31" spans="1:54" ht="14.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5"/>
      <c r="AY31" s="5"/>
      <c r="AZ31" s="4" t="str">
        <f t="shared" ca="1" si="0"/>
        <v/>
      </c>
      <c r="BA31" s="4" t="str">
        <f t="shared" ca="1" si="1"/>
        <v/>
      </c>
      <c r="BB31" s="4"/>
    </row>
    <row r="32" spans="1:54" ht="14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5"/>
      <c r="AY32" s="5"/>
      <c r="AZ32" s="4" t="str">
        <f t="shared" ca="1" si="0"/>
        <v/>
      </c>
      <c r="BA32" s="4" t="str">
        <f t="shared" ca="1" si="1"/>
        <v/>
      </c>
      <c r="BB32" s="4"/>
    </row>
    <row r="33" spans="1:54" ht="14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5"/>
      <c r="AY33" s="5"/>
      <c r="AZ33" s="4" t="str">
        <f t="shared" ca="1" si="0"/>
        <v/>
      </c>
      <c r="BA33" s="4" t="str">
        <f t="shared" ca="1" si="1"/>
        <v/>
      </c>
      <c r="BB33" s="4"/>
    </row>
    <row r="34" spans="1:54" ht="14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5"/>
      <c r="AY34" s="5"/>
      <c r="AZ34" s="4" t="str">
        <f t="shared" ca="1" si="0"/>
        <v/>
      </c>
      <c r="BA34" s="4" t="str">
        <f t="shared" ca="1" si="1"/>
        <v/>
      </c>
      <c r="BB34" s="4"/>
    </row>
    <row r="35" spans="1:54" ht="14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5"/>
      <c r="AY35" s="5"/>
      <c r="AZ35" s="4" t="str">
        <f t="shared" ca="1" si="0"/>
        <v/>
      </c>
      <c r="BA35" s="4" t="str">
        <f t="shared" ca="1" si="1"/>
        <v/>
      </c>
      <c r="BB35" s="4"/>
    </row>
    <row r="36" spans="1:54" ht="14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5"/>
      <c r="AY36" s="5"/>
      <c r="AZ36" s="4" t="str">
        <f t="shared" ca="1" si="0"/>
        <v/>
      </c>
      <c r="BA36" s="4" t="str">
        <f t="shared" ca="1" si="1"/>
        <v/>
      </c>
      <c r="BB36" s="4"/>
    </row>
    <row r="37" spans="1:54" ht="14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5"/>
      <c r="AY37" s="5"/>
      <c r="AZ37" s="4" t="str">
        <f t="shared" ref="AZ37:AZ68" ca="1" si="2">IF(A37="","",IF(AY37="","No Date",IF(AY37&lt;TODAY(),"Overdue",IF(AY37&lt;=TODAY()+30,"Due Soon","Current"))))</f>
        <v/>
      </c>
      <c r="BA37" s="4" t="str">
        <f t="shared" ref="BA37:BA68" ca="1" si="3">IF(A37="","",IF(AY37="","",AY37-TODAY()))</f>
        <v/>
      </c>
      <c r="BB37" s="4"/>
    </row>
    <row r="38" spans="1:54" ht="14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5"/>
      <c r="AY38" s="5"/>
      <c r="AZ38" s="4" t="str">
        <f t="shared" ca="1" si="2"/>
        <v/>
      </c>
      <c r="BA38" s="4" t="str">
        <f t="shared" ca="1" si="3"/>
        <v/>
      </c>
      <c r="BB38" s="4"/>
    </row>
    <row r="39" spans="1:54" ht="14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5"/>
      <c r="AY39" s="5"/>
      <c r="AZ39" s="4" t="str">
        <f t="shared" ca="1" si="2"/>
        <v/>
      </c>
      <c r="BA39" s="4" t="str">
        <f t="shared" ca="1" si="3"/>
        <v/>
      </c>
      <c r="BB39" s="4"/>
    </row>
    <row r="40" spans="1:54" ht="14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5"/>
      <c r="AY40" s="5"/>
      <c r="AZ40" s="4" t="str">
        <f t="shared" ca="1" si="2"/>
        <v/>
      </c>
      <c r="BA40" s="4" t="str">
        <f t="shared" ca="1" si="3"/>
        <v/>
      </c>
      <c r="BB40" s="4"/>
    </row>
    <row r="41" spans="1:54" ht="14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5"/>
      <c r="AY41" s="5"/>
      <c r="AZ41" s="4" t="str">
        <f t="shared" ca="1" si="2"/>
        <v/>
      </c>
      <c r="BA41" s="4" t="str">
        <f t="shared" ca="1" si="3"/>
        <v/>
      </c>
      <c r="BB41" s="4"/>
    </row>
    <row r="42" spans="1:54" ht="14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5"/>
      <c r="AY42" s="5"/>
      <c r="AZ42" s="4" t="str">
        <f t="shared" ca="1" si="2"/>
        <v/>
      </c>
      <c r="BA42" s="4" t="str">
        <f t="shared" ca="1" si="3"/>
        <v/>
      </c>
      <c r="BB42" s="4"/>
    </row>
    <row r="43" spans="1:54" ht="14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5"/>
      <c r="AY43" s="5"/>
      <c r="AZ43" s="4" t="str">
        <f t="shared" ca="1" si="2"/>
        <v/>
      </c>
      <c r="BA43" s="4" t="str">
        <f t="shared" ca="1" si="3"/>
        <v/>
      </c>
      <c r="BB43" s="4"/>
    </row>
    <row r="44" spans="1:54" ht="14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5"/>
      <c r="AY44" s="5"/>
      <c r="AZ44" s="4" t="str">
        <f t="shared" ca="1" si="2"/>
        <v/>
      </c>
      <c r="BA44" s="4" t="str">
        <f t="shared" ca="1" si="3"/>
        <v/>
      </c>
      <c r="BB44" s="4"/>
    </row>
    <row r="45" spans="1:54" ht="14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5"/>
      <c r="AY45" s="5"/>
      <c r="AZ45" s="4" t="str">
        <f t="shared" ca="1" si="2"/>
        <v/>
      </c>
      <c r="BA45" s="4" t="str">
        <f t="shared" ca="1" si="3"/>
        <v/>
      </c>
      <c r="BB45" s="4"/>
    </row>
    <row r="46" spans="1:54" ht="14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5"/>
      <c r="AY46" s="5"/>
      <c r="AZ46" s="4" t="str">
        <f t="shared" ca="1" si="2"/>
        <v/>
      </c>
      <c r="BA46" s="4" t="str">
        <f t="shared" ca="1" si="3"/>
        <v/>
      </c>
      <c r="BB46" s="4"/>
    </row>
    <row r="47" spans="1:54" ht="14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5"/>
      <c r="AY47" s="5"/>
      <c r="AZ47" s="4" t="str">
        <f t="shared" ca="1" si="2"/>
        <v/>
      </c>
      <c r="BA47" s="4" t="str">
        <f t="shared" ca="1" si="3"/>
        <v/>
      </c>
      <c r="BB47" s="4"/>
    </row>
    <row r="48" spans="1:54" ht="14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5"/>
      <c r="AY48" s="5"/>
      <c r="AZ48" s="4" t="str">
        <f t="shared" ca="1" si="2"/>
        <v/>
      </c>
      <c r="BA48" s="4" t="str">
        <f t="shared" ca="1" si="3"/>
        <v/>
      </c>
      <c r="BB48" s="4"/>
    </row>
    <row r="49" spans="1:54" ht="14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5"/>
      <c r="AY49" s="5"/>
      <c r="AZ49" s="4" t="str">
        <f t="shared" ca="1" si="2"/>
        <v/>
      </c>
      <c r="BA49" s="4" t="str">
        <f t="shared" ca="1" si="3"/>
        <v/>
      </c>
      <c r="BB49" s="4"/>
    </row>
    <row r="50" spans="1:54" ht="14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5"/>
      <c r="AY50" s="5"/>
      <c r="AZ50" s="4" t="str">
        <f t="shared" ca="1" si="2"/>
        <v/>
      </c>
      <c r="BA50" s="4" t="str">
        <f t="shared" ca="1" si="3"/>
        <v/>
      </c>
      <c r="BB50" s="4"/>
    </row>
    <row r="51" spans="1:54" ht="14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5"/>
      <c r="AY51" s="5"/>
      <c r="AZ51" s="4" t="str">
        <f t="shared" ca="1" si="2"/>
        <v/>
      </c>
      <c r="BA51" s="4" t="str">
        <f t="shared" ca="1" si="3"/>
        <v/>
      </c>
      <c r="BB51" s="4"/>
    </row>
    <row r="52" spans="1:54" ht="14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5"/>
      <c r="AY52" s="5"/>
      <c r="AZ52" s="4" t="str">
        <f t="shared" ca="1" si="2"/>
        <v/>
      </c>
      <c r="BA52" s="4" t="str">
        <f t="shared" ca="1" si="3"/>
        <v/>
      </c>
      <c r="BB52" s="4"/>
    </row>
    <row r="53" spans="1:54" ht="14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5"/>
      <c r="AY53" s="5"/>
      <c r="AZ53" s="4" t="str">
        <f t="shared" ca="1" si="2"/>
        <v/>
      </c>
      <c r="BA53" s="4" t="str">
        <f t="shared" ca="1" si="3"/>
        <v/>
      </c>
      <c r="BB53" s="4"/>
    </row>
    <row r="54" spans="1:54" ht="14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5"/>
      <c r="AY54" s="5"/>
      <c r="AZ54" s="4" t="str">
        <f t="shared" ca="1" si="2"/>
        <v/>
      </c>
      <c r="BA54" s="4" t="str">
        <f t="shared" ca="1" si="3"/>
        <v/>
      </c>
      <c r="BB54" s="4"/>
    </row>
    <row r="55" spans="1:54" ht="14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5"/>
      <c r="AY55" s="5"/>
      <c r="AZ55" s="4" t="str">
        <f t="shared" ca="1" si="2"/>
        <v/>
      </c>
      <c r="BA55" s="4" t="str">
        <f t="shared" ca="1" si="3"/>
        <v/>
      </c>
      <c r="BB55" s="4"/>
    </row>
    <row r="56" spans="1:54" ht="14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5"/>
      <c r="AY56" s="5"/>
      <c r="AZ56" s="4" t="str">
        <f t="shared" ca="1" si="2"/>
        <v/>
      </c>
      <c r="BA56" s="4" t="str">
        <f t="shared" ca="1" si="3"/>
        <v/>
      </c>
      <c r="BB56" s="4"/>
    </row>
    <row r="57" spans="1:54" ht="14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5"/>
      <c r="AY57" s="5"/>
      <c r="AZ57" s="4" t="str">
        <f t="shared" ca="1" si="2"/>
        <v/>
      </c>
      <c r="BA57" s="4" t="str">
        <f t="shared" ca="1" si="3"/>
        <v/>
      </c>
      <c r="BB57" s="4"/>
    </row>
    <row r="58" spans="1:54" ht="14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5"/>
      <c r="AY58" s="5"/>
      <c r="AZ58" s="4" t="str">
        <f t="shared" ca="1" si="2"/>
        <v/>
      </c>
      <c r="BA58" s="4" t="str">
        <f t="shared" ca="1" si="3"/>
        <v/>
      </c>
      <c r="BB58" s="4"/>
    </row>
    <row r="59" spans="1:54" ht="14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5"/>
      <c r="AY59" s="5"/>
      <c r="AZ59" s="4" t="str">
        <f t="shared" ca="1" si="2"/>
        <v/>
      </c>
      <c r="BA59" s="4" t="str">
        <f t="shared" ca="1" si="3"/>
        <v/>
      </c>
      <c r="BB59" s="4"/>
    </row>
    <row r="60" spans="1:54" ht="14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5"/>
      <c r="AY60" s="5"/>
      <c r="AZ60" s="4" t="str">
        <f t="shared" ca="1" si="2"/>
        <v/>
      </c>
      <c r="BA60" s="4" t="str">
        <f t="shared" ca="1" si="3"/>
        <v/>
      </c>
      <c r="BB60" s="4"/>
    </row>
    <row r="61" spans="1:54" ht="14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5"/>
      <c r="AY61" s="5"/>
      <c r="AZ61" s="4" t="str">
        <f t="shared" ca="1" si="2"/>
        <v/>
      </c>
      <c r="BA61" s="4" t="str">
        <f t="shared" ca="1" si="3"/>
        <v/>
      </c>
      <c r="BB61" s="4"/>
    </row>
    <row r="62" spans="1:54" ht="14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5"/>
      <c r="AY62" s="5"/>
      <c r="AZ62" s="4" t="str">
        <f t="shared" ca="1" si="2"/>
        <v/>
      </c>
      <c r="BA62" s="4" t="str">
        <f t="shared" ca="1" si="3"/>
        <v/>
      </c>
      <c r="BB62" s="4"/>
    </row>
    <row r="63" spans="1:54" ht="14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5"/>
      <c r="AY63" s="5"/>
      <c r="AZ63" s="4" t="str">
        <f t="shared" ca="1" si="2"/>
        <v/>
      </c>
      <c r="BA63" s="4" t="str">
        <f t="shared" ca="1" si="3"/>
        <v/>
      </c>
      <c r="BB63" s="4"/>
    </row>
    <row r="64" spans="1:54" ht="14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5"/>
      <c r="AY64" s="5"/>
      <c r="AZ64" s="4" t="str">
        <f t="shared" ca="1" si="2"/>
        <v/>
      </c>
      <c r="BA64" s="4" t="str">
        <f t="shared" ca="1" si="3"/>
        <v/>
      </c>
      <c r="BB64" s="4"/>
    </row>
    <row r="65" spans="1:54" ht="14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5"/>
      <c r="AY65" s="5"/>
      <c r="AZ65" s="4" t="str">
        <f t="shared" ca="1" si="2"/>
        <v/>
      </c>
      <c r="BA65" s="4" t="str">
        <f t="shared" ca="1" si="3"/>
        <v/>
      </c>
      <c r="BB65" s="4"/>
    </row>
    <row r="66" spans="1:54" ht="14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5"/>
      <c r="AY66" s="5"/>
      <c r="AZ66" s="4" t="str">
        <f t="shared" ca="1" si="2"/>
        <v/>
      </c>
      <c r="BA66" s="4" t="str">
        <f t="shared" ca="1" si="3"/>
        <v/>
      </c>
      <c r="BB66" s="4"/>
    </row>
    <row r="67" spans="1:54" ht="14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5"/>
      <c r="AY67" s="5"/>
      <c r="AZ67" s="4" t="str">
        <f t="shared" ca="1" si="2"/>
        <v/>
      </c>
      <c r="BA67" s="4" t="str">
        <f t="shared" ca="1" si="3"/>
        <v/>
      </c>
      <c r="BB67" s="4"/>
    </row>
    <row r="68" spans="1:54" ht="14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5"/>
      <c r="AY68" s="5"/>
      <c r="AZ68" s="4" t="str">
        <f t="shared" ca="1" si="2"/>
        <v/>
      </c>
      <c r="BA68" s="4" t="str">
        <f t="shared" ca="1" si="3"/>
        <v/>
      </c>
      <c r="BB68" s="4"/>
    </row>
    <row r="69" spans="1:54" ht="14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5"/>
      <c r="AY69" s="5"/>
      <c r="AZ69" s="4" t="str">
        <f t="shared" ref="AZ69:AZ100" ca="1" si="4">IF(A69="","",IF(AY69="","No Date",IF(AY69&lt;TODAY(),"Overdue",IF(AY69&lt;=TODAY()+30,"Due Soon","Current"))))</f>
        <v/>
      </c>
      <c r="BA69" s="4" t="str">
        <f t="shared" ref="BA69:BA104" ca="1" si="5">IF(A69="","",IF(AY69="","",AY69-TODAY()))</f>
        <v/>
      </c>
      <c r="BB69" s="4"/>
    </row>
    <row r="70" spans="1:54" ht="14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5"/>
      <c r="AY70" s="5"/>
      <c r="AZ70" s="4" t="str">
        <f t="shared" ca="1" si="4"/>
        <v/>
      </c>
      <c r="BA70" s="4" t="str">
        <f t="shared" ca="1" si="5"/>
        <v/>
      </c>
      <c r="BB70" s="4"/>
    </row>
    <row r="71" spans="1:54" ht="14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5"/>
      <c r="AY71" s="5"/>
      <c r="AZ71" s="4" t="str">
        <f t="shared" ca="1" si="4"/>
        <v/>
      </c>
      <c r="BA71" s="4" t="str">
        <f t="shared" ca="1" si="5"/>
        <v/>
      </c>
      <c r="BB71" s="4"/>
    </row>
    <row r="72" spans="1:54" ht="14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5"/>
      <c r="AY72" s="5"/>
      <c r="AZ72" s="4" t="str">
        <f t="shared" ca="1" si="4"/>
        <v/>
      </c>
      <c r="BA72" s="4" t="str">
        <f t="shared" ca="1" si="5"/>
        <v/>
      </c>
      <c r="BB72" s="4"/>
    </row>
    <row r="73" spans="1:54" ht="14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5"/>
      <c r="AY73" s="5"/>
      <c r="AZ73" s="4" t="str">
        <f t="shared" ca="1" si="4"/>
        <v/>
      </c>
      <c r="BA73" s="4" t="str">
        <f t="shared" ca="1" si="5"/>
        <v/>
      </c>
      <c r="BB73" s="4"/>
    </row>
    <row r="74" spans="1:54" ht="14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5"/>
      <c r="AY74" s="5"/>
      <c r="AZ74" s="4" t="str">
        <f t="shared" ca="1" si="4"/>
        <v/>
      </c>
      <c r="BA74" s="4" t="str">
        <f t="shared" ca="1" si="5"/>
        <v/>
      </c>
      <c r="BB74" s="4"/>
    </row>
    <row r="75" spans="1:54" ht="14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5"/>
      <c r="AY75" s="5"/>
      <c r="AZ75" s="4" t="str">
        <f t="shared" ca="1" si="4"/>
        <v/>
      </c>
      <c r="BA75" s="4" t="str">
        <f t="shared" ca="1" si="5"/>
        <v/>
      </c>
      <c r="BB75" s="4"/>
    </row>
    <row r="76" spans="1:54" ht="14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5"/>
      <c r="AY76" s="5"/>
      <c r="AZ76" s="4" t="str">
        <f t="shared" ca="1" si="4"/>
        <v/>
      </c>
      <c r="BA76" s="4" t="str">
        <f t="shared" ca="1" si="5"/>
        <v/>
      </c>
      <c r="BB76" s="4"/>
    </row>
    <row r="77" spans="1:54" ht="14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5"/>
      <c r="AY77" s="5"/>
      <c r="AZ77" s="4" t="str">
        <f t="shared" ca="1" si="4"/>
        <v/>
      </c>
      <c r="BA77" s="4" t="str">
        <f t="shared" ca="1" si="5"/>
        <v/>
      </c>
      <c r="BB77" s="4"/>
    </row>
    <row r="78" spans="1:54" ht="14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5"/>
      <c r="AY78" s="5"/>
      <c r="AZ78" s="4" t="str">
        <f t="shared" ca="1" si="4"/>
        <v/>
      </c>
      <c r="BA78" s="4" t="str">
        <f t="shared" ca="1" si="5"/>
        <v/>
      </c>
      <c r="BB78" s="4"/>
    </row>
    <row r="79" spans="1:54" ht="14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5"/>
      <c r="AY79" s="5"/>
      <c r="AZ79" s="4" t="str">
        <f t="shared" ca="1" si="4"/>
        <v/>
      </c>
      <c r="BA79" s="4" t="str">
        <f t="shared" ca="1" si="5"/>
        <v/>
      </c>
      <c r="BB79" s="4"/>
    </row>
    <row r="80" spans="1:54" ht="14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5"/>
      <c r="AY80" s="5"/>
      <c r="AZ80" s="4" t="str">
        <f t="shared" ca="1" si="4"/>
        <v/>
      </c>
      <c r="BA80" s="4" t="str">
        <f t="shared" ca="1" si="5"/>
        <v/>
      </c>
      <c r="BB80" s="4"/>
    </row>
    <row r="81" spans="1:54" ht="14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5"/>
      <c r="AY81" s="5"/>
      <c r="AZ81" s="4" t="str">
        <f t="shared" ca="1" si="4"/>
        <v/>
      </c>
      <c r="BA81" s="4" t="str">
        <f t="shared" ca="1" si="5"/>
        <v/>
      </c>
      <c r="BB81" s="4"/>
    </row>
    <row r="82" spans="1:54" ht="14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5"/>
      <c r="AY82" s="5"/>
      <c r="AZ82" s="4" t="str">
        <f t="shared" ca="1" si="4"/>
        <v/>
      </c>
      <c r="BA82" s="4" t="str">
        <f t="shared" ca="1" si="5"/>
        <v/>
      </c>
      <c r="BB82" s="4"/>
    </row>
    <row r="83" spans="1:54" ht="14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5"/>
      <c r="AY83" s="5"/>
      <c r="AZ83" s="4" t="str">
        <f t="shared" ca="1" si="4"/>
        <v/>
      </c>
      <c r="BA83" s="4" t="str">
        <f t="shared" ca="1" si="5"/>
        <v/>
      </c>
      <c r="BB83" s="4"/>
    </row>
    <row r="84" spans="1:54" ht="14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5"/>
      <c r="AY84" s="5"/>
      <c r="AZ84" s="4" t="str">
        <f t="shared" ca="1" si="4"/>
        <v/>
      </c>
      <c r="BA84" s="4" t="str">
        <f t="shared" ca="1" si="5"/>
        <v/>
      </c>
      <c r="BB84" s="4"/>
    </row>
    <row r="85" spans="1:54" ht="14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5"/>
      <c r="AY85" s="5"/>
      <c r="AZ85" s="4" t="str">
        <f t="shared" ca="1" si="4"/>
        <v/>
      </c>
      <c r="BA85" s="4" t="str">
        <f t="shared" ca="1" si="5"/>
        <v/>
      </c>
      <c r="BB85" s="4"/>
    </row>
    <row r="86" spans="1:54" ht="14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5"/>
      <c r="AY86" s="5"/>
      <c r="AZ86" s="4" t="str">
        <f t="shared" ca="1" si="4"/>
        <v/>
      </c>
      <c r="BA86" s="4" t="str">
        <f t="shared" ca="1" si="5"/>
        <v/>
      </c>
      <c r="BB86" s="4"/>
    </row>
    <row r="87" spans="1:54" ht="14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5"/>
      <c r="AY87" s="5"/>
      <c r="AZ87" s="4" t="str">
        <f t="shared" ca="1" si="4"/>
        <v/>
      </c>
      <c r="BA87" s="4" t="str">
        <f t="shared" ca="1" si="5"/>
        <v/>
      </c>
      <c r="BB87" s="4"/>
    </row>
    <row r="88" spans="1:54" ht="14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5"/>
      <c r="AY88" s="5"/>
      <c r="AZ88" s="4" t="str">
        <f t="shared" ca="1" si="4"/>
        <v/>
      </c>
      <c r="BA88" s="4" t="str">
        <f t="shared" ca="1" si="5"/>
        <v/>
      </c>
      <c r="BB88" s="4"/>
    </row>
    <row r="89" spans="1:54" ht="14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5"/>
      <c r="AY89" s="5"/>
      <c r="AZ89" s="4" t="str">
        <f t="shared" ca="1" si="4"/>
        <v/>
      </c>
      <c r="BA89" s="4" t="str">
        <f t="shared" ca="1" si="5"/>
        <v/>
      </c>
      <c r="BB89" s="4"/>
    </row>
    <row r="90" spans="1:54" ht="14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5"/>
      <c r="AY90" s="5"/>
      <c r="AZ90" s="4" t="str">
        <f t="shared" ca="1" si="4"/>
        <v/>
      </c>
      <c r="BA90" s="4" t="str">
        <f t="shared" ca="1" si="5"/>
        <v/>
      </c>
      <c r="BB90" s="4"/>
    </row>
    <row r="91" spans="1:54" ht="14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5"/>
      <c r="AY91" s="5"/>
      <c r="AZ91" s="4" t="str">
        <f t="shared" ca="1" si="4"/>
        <v/>
      </c>
      <c r="BA91" s="4" t="str">
        <f t="shared" ca="1" si="5"/>
        <v/>
      </c>
      <c r="BB91" s="4"/>
    </row>
    <row r="92" spans="1:54" ht="14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5"/>
      <c r="AY92" s="5"/>
      <c r="AZ92" s="4" t="str">
        <f t="shared" ca="1" si="4"/>
        <v/>
      </c>
      <c r="BA92" s="4" t="str">
        <f t="shared" ca="1" si="5"/>
        <v/>
      </c>
      <c r="BB92" s="4"/>
    </row>
    <row r="93" spans="1:54" ht="14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5"/>
      <c r="AY93" s="5"/>
      <c r="AZ93" s="4" t="str">
        <f t="shared" ca="1" si="4"/>
        <v/>
      </c>
      <c r="BA93" s="4" t="str">
        <f t="shared" ca="1" si="5"/>
        <v/>
      </c>
      <c r="BB93" s="4"/>
    </row>
    <row r="94" spans="1:54" ht="14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5"/>
      <c r="AY94" s="5"/>
      <c r="AZ94" s="4" t="str">
        <f t="shared" ca="1" si="4"/>
        <v/>
      </c>
      <c r="BA94" s="4" t="str">
        <f t="shared" ca="1" si="5"/>
        <v/>
      </c>
      <c r="BB94" s="4"/>
    </row>
    <row r="95" spans="1:54" ht="14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5"/>
      <c r="AY95" s="5"/>
      <c r="AZ95" s="4" t="str">
        <f t="shared" ca="1" si="4"/>
        <v/>
      </c>
      <c r="BA95" s="4" t="str">
        <f t="shared" ca="1" si="5"/>
        <v/>
      </c>
      <c r="BB95" s="4"/>
    </row>
    <row r="96" spans="1:54" ht="14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5"/>
      <c r="AY96" s="5"/>
      <c r="AZ96" s="4" t="str">
        <f t="shared" ca="1" si="4"/>
        <v/>
      </c>
      <c r="BA96" s="4" t="str">
        <f t="shared" ca="1" si="5"/>
        <v/>
      </c>
      <c r="BB96" s="4"/>
    </row>
    <row r="97" spans="1:54" ht="14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5"/>
      <c r="AY97" s="5"/>
      <c r="AZ97" s="4" t="str">
        <f t="shared" ca="1" si="4"/>
        <v/>
      </c>
      <c r="BA97" s="4" t="str">
        <f t="shared" ca="1" si="5"/>
        <v/>
      </c>
      <c r="BB97" s="4"/>
    </row>
    <row r="98" spans="1:54" ht="14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5"/>
      <c r="AY98" s="5"/>
      <c r="AZ98" s="4" t="str">
        <f t="shared" ca="1" si="4"/>
        <v/>
      </c>
      <c r="BA98" s="4" t="str">
        <f t="shared" ca="1" si="5"/>
        <v/>
      </c>
      <c r="BB98" s="4"/>
    </row>
    <row r="99" spans="1:54" ht="14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5"/>
      <c r="AY99" s="5"/>
      <c r="AZ99" s="4" t="str">
        <f t="shared" ca="1" si="4"/>
        <v/>
      </c>
      <c r="BA99" s="4" t="str">
        <f t="shared" ca="1" si="5"/>
        <v/>
      </c>
      <c r="BB99" s="4"/>
    </row>
    <row r="100" spans="1:54" ht="14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5"/>
      <c r="AY100" s="5"/>
      <c r="AZ100" s="4" t="str">
        <f t="shared" ca="1" si="4"/>
        <v/>
      </c>
      <c r="BA100" s="4" t="str">
        <f t="shared" ca="1" si="5"/>
        <v/>
      </c>
      <c r="BB100" s="4"/>
    </row>
    <row r="101" spans="1:54" ht="14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5"/>
      <c r="AY101" s="5"/>
      <c r="AZ101" s="4" t="str">
        <f t="shared" ref="AZ101:AZ132" ca="1" si="6">IF(A101="","",IF(AY101="","No Date",IF(AY101&lt;TODAY(),"Overdue",IF(AY101&lt;=TODAY()+30,"Due Soon","Current"))))</f>
        <v/>
      </c>
      <c r="BA101" s="4" t="str">
        <f t="shared" ca="1" si="5"/>
        <v/>
      </c>
      <c r="BB101" s="4"/>
    </row>
    <row r="102" spans="1:54" ht="14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5"/>
      <c r="AY102" s="5"/>
      <c r="AZ102" s="4" t="str">
        <f t="shared" ca="1" si="6"/>
        <v/>
      </c>
      <c r="BA102" s="4" t="str">
        <f t="shared" ca="1" si="5"/>
        <v/>
      </c>
      <c r="BB102" s="4"/>
    </row>
    <row r="103" spans="1:54" ht="14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5"/>
      <c r="AY103" s="5"/>
      <c r="AZ103" s="4" t="str">
        <f t="shared" ca="1" si="6"/>
        <v/>
      </c>
      <c r="BA103" s="4" t="str">
        <f t="shared" ca="1" si="5"/>
        <v/>
      </c>
      <c r="BB103" s="4"/>
    </row>
    <row r="104" spans="1:54" ht="14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5"/>
      <c r="AY104" s="5"/>
      <c r="AZ104" s="4" t="str">
        <f t="shared" ca="1" si="6"/>
        <v/>
      </c>
      <c r="BA104" s="4" t="str">
        <f t="shared" ca="1" si="5"/>
        <v/>
      </c>
      <c r="BB104" s="4"/>
    </row>
  </sheetData>
  <mergeCells count="2">
    <mergeCell ref="A1:BB1"/>
    <mergeCell ref="A2:BB2"/>
  </mergeCells>
  <conditionalFormatting sqref="Y5:Y104">
    <cfRule type="expression" dxfId="17" priority="1">
      <formula>Y5="Critical"</formula>
    </cfRule>
    <cfRule type="expression" dxfId="16" priority="2">
      <formula>Y5="High"</formula>
    </cfRule>
    <cfRule type="expression" dxfId="15" priority="3">
      <formula>Y5="Moderate"</formula>
    </cfRule>
    <cfRule type="expression" dxfId="14" priority="4">
      <formula>Y5="Low"</formula>
    </cfRule>
  </conditionalFormatting>
  <conditionalFormatting sqref="AA5:AA104">
    <cfRule type="expression" dxfId="13" priority="13">
      <formula>AA5="Open"</formula>
    </cfRule>
    <cfRule type="expression" dxfId="12" priority="14">
      <formula>AA5="In Progress"</formula>
    </cfRule>
    <cfRule type="expression" dxfId="11" priority="15">
      <formula>AA5="Implemented"</formula>
    </cfRule>
  </conditionalFormatting>
  <conditionalFormatting sqref="AQ5:AQ104">
    <cfRule type="expression" dxfId="10" priority="8">
      <formula>AQ5="Rejected"</formula>
    </cfRule>
    <cfRule type="expression" dxfId="9" priority="9">
      <formula>AQ5="Expired"</formula>
    </cfRule>
    <cfRule type="expression" dxfId="8" priority="10">
      <formula>AQ5="Under Review"</formula>
    </cfRule>
    <cfRule type="expression" dxfId="7" priority="11">
      <formula>AQ5="Pending"</formula>
    </cfRule>
    <cfRule type="expression" dxfId="6" priority="12">
      <formula>AQ5="Approved"</formula>
    </cfRule>
  </conditionalFormatting>
  <conditionalFormatting sqref="AS5:AS104">
    <cfRule type="expression" dxfId="5" priority="5">
      <formula>AS5="No"</formula>
    </cfRule>
    <cfRule type="expression" dxfId="4" priority="6">
      <formula>AS5="Conditional"</formula>
    </cfRule>
    <cfRule type="expression" dxfId="3" priority="7">
      <formula>AS5="Yes"</formula>
    </cfRule>
  </conditionalFormatting>
  <conditionalFormatting sqref="AZ5:AZ104">
    <cfRule type="expression" dxfId="2" priority="16">
      <formula>AZ5="Overdue"</formula>
    </cfRule>
    <cfRule type="expression" dxfId="1" priority="17">
      <formula>AZ5="Due Soon"</formula>
    </cfRule>
    <cfRule type="expression" dxfId="0" priority="18">
      <formula>AZ5="Current"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xr:uid="{00000000-0002-0000-0100-000000000000}">
          <x14:formula1>
            <xm:f>'Controlled Lists'!$B$2:$B$7</xm:f>
          </x14:formula1>
          <xm:sqref>G5:G104</xm:sqref>
        </x14:dataValidation>
        <x14:dataValidation type="list" xr:uid="{00000000-0002-0000-0100-000001000000}">
          <x14:formula1>
            <xm:f>'Controlled Lists'!$B$8:$B$15</xm:f>
          </x14:formula1>
          <xm:sqref>I5:I104</xm:sqref>
        </x14:dataValidation>
        <x14:dataValidation type="list" xr:uid="{00000000-0002-0000-0100-000002000000}">
          <x14:formula1>
            <xm:f>'Controlled Lists'!$B$16:$B$22</xm:f>
          </x14:formula1>
          <xm:sqref>J5:J104</xm:sqref>
        </x14:dataValidation>
        <x14:dataValidation type="list" xr:uid="{00000000-0002-0000-0100-000003000000}">
          <x14:formula1>
            <xm:f>'Controlled Lists'!$B$23:$B$29</xm:f>
          </x14:formula1>
          <xm:sqref>K5:K104</xm:sqref>
        </x14:dataValidation>
        <x14:dataValidation type="list" xr:uid="{00000000-0002-0000-0100-000004000000}">
          <x14:formula1>
            <xm:f>'Controlled Lists'!$B$30:$B$35</xm:f>
          </x14:formula1>
          <xm:sqref>L5:L104</xm:sqref>
        </x14:dataValidation>
        <x14:dataValidation type="list" xr:uid="{00000000-0002-0000-0100-000005000000}">
          <x14:formula1>
            <xm:f>'Controlled Lists'!$B$36:$B$39</xm:f>
          </x14:formula1>
          <xm:sqref>Q5:Q104</xm:sqref>
        </x14:dataValidation>
        <x14:dataValidation type="list" xr:uid="{00000000-0002-0000-0100-000006000000}">
          <x14:formula1>
            <xm:f>'Controlled Lists'!$B$40:$B$43</xm:f>
          </x14:formula1>
          <xm:sqref>T5:T104</xm:sqref>
        </x14:dataValidation>
        <x14:dataValidation type="list" xr:uid="{00000000-0002-0000-0100-000007000000}">
          <x14:formula1>
            <xm:f>'Controlled Lists'!$B$44:$B$47</xm:f>
          </x14:formula1>
          <xm:sqref>U5:U104</xm:sqref>
        </x14:dataValidation>
        <x14:dataValidation type="list" xr:uid="{00000000-0002-0000-0100-000008000000}">
          <x14:formula1>
            <xm:f>'Controlled Lists'!$B$48:$B$54</xm:f>
          </x14:formula1>
          <xm:sqref>W5:W104</xm:sqref>
        </x14:dataValidation>
        <x14:dataValidation type="list" xr:uid="{00000000-0002-0000-0100-000009000000}">
          <x14:formula1>
            <xm:f>'Controlled Lists'!$B$55:$B$59</xm:f>
          </x14:formula1>
          <xm:sqref>Y5:Y104</xm:sqref>
        </x14:dataValidation>
        <x14:dataValidation type="list" xr:uid="{00000000-0002-0000-0100-00000A000000}">
          <x14:formula1>
            <xm:f>'Controlled Lists'!$B$60:$B$65</xm:f>
          </x14:formula1>
          <xm:sqref>AA5:AA104</xm:sqref>
        </x14:dataValidation>
        <x14:dataValidation type="list" xr:uid="{00000000-0002-0000-0100-00000B000000}">
          <x14:formula1>
            <xm:f>'Controlled Lists'!$B$66:$B$70</xm:f>
          </x14:formula1>
          <xm:sqref>AH5:AH104</xm:sqref>
        </x14:dataValidation>
        <x14:dataValidation type="list" xr:uid="{00000000-0002-0000-0100-00000C000000}">
          <x14:formula1>
            <xm:f>'Controlled Lists'!$B$71:$B$74</xm:f>
          </x14:formula1>
          <xm:sqref>AK5:AK104</xm:sqref>
        </x14:dataValidation>
        <x14:dataValidation type="list" xr:uid="{00000000-0002-0000-0100-00000D000000}">
          <x14:formula1>
            <xm:f>'Controlled Lists'!$B$75:$B$78</xm:f>
          </x14:formula1>
          <xm:sqref>AM5:AM104</xm:sqref>
        </x14:dataValidation>
        <x14:dataValidation type="list" xr:uid="{00000000-0002-0000-0100-00000E000000}">
          <x14:formula1>
            <xm:f>'Controlled Lists'!$B$79:$B$82</xm:f>
          </x14:formula1>
          <xm:sqref>AN5:AN104</xm:sqref>
        </x14:dataValidation>
        <x14:dataValidation type="list" xr:uid="{00000000-0002-0000-0100-00000F000000}">
          <x14:formula1>
            <xm:f>'Controlled Lists'!$B$83:$B$86</xm:f>
          </x14:formula1>
          <xm:sqref>AO5:AO104</xm:sqref>
        </x14:dataValidation>
        <x14:dataValidation type="list" xr:uid="{00000000-0002-0000-0100-000010000000}">
          <x14:formula1>
            <xm:f>'Controlled Lists'!$B$87:$B$90</xm:f>
          </x14:formula1>
          <xm:sqref>AP5:AP104</xm:sqref>
        </x14:dataValidation>
        <x14:dataValidation type="list" xr:uid="{00000000-0002-0000-0100-000011000000}">
          <x14:formula1>
            <xm:f>'Controlled Lists'!$B$91:$B$97</xm:f>
          </x14:formula1>
          <xm:sqref>AQ5:AQ104</xm:sqref>
        </x14:dataValidation>
        <x14:dataValidation type="list" xr:uid="{00000000-0002-0000-0100-000012000000}">
          <x14:formula1>
            <xm:f>'Controlled Lists'!$B$98:$B$100</xm:f>
          </x14:formula1>
          <xm:sqref>AS5:AS104</xm:sqref>
        </x14:dataValidation>
        <x14:dataValidation type="list" xr:uid="{00000000-0002-0000-0100-000013000000}">
          <x14:formula1>
            <xm:f>'Controlled Lists'!$B$101:$B$105</xm:f>
          </x14:formula1>
          <xm:sqref>AV5:AV104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04"/>
  <sheetViews>
    <sheetView workbookViewId="0"/>
  </sheetViews>
  <sheetFormatPr defaultRowHeight="13.8"/>
  <cols>
    <col min="1" max="1" width="28" customWidth="1"/>
    <col min="2" max="7" width="24" customWidth="1"/>
    <col min="8" max="8" width="39" customWidth="1"/>
  </cols>
  <sheetData>
    <row r="1" spans="1:54" ht="23.4">
      <c r="A1" s="11" t="s">
        <v>150</v>
      </c>
      <c r="B1" s="11"/>
      <c r="C1" s="11"/>
      <c r="D1" s="11"/>
      <c r="E1" s="11"/>
      <c r="F1" s="11"/>
      <c r="G1" s="1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14.4">
      <c r="A2" s="12" t="s">
        <v>151</v>
      </c>
      <c r="B2" s="12"/>
      <c r="C2" s="12"/>
      <c r="D2" s="12"/>
      <c r="E2" s="12"/>
      <c r="F2" s="1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ht="14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ht="28.05" customHeight="1">
      <c r="A4" s="6" t="s">
        <v>152</v>
      </c>
      <c r="B4" s="6" t="s">
        <v>153</v>
      </c>
      <c r="C4" s="6" t="s">
        <v>154</v>
      </c>
      <c r="D4" s="6" t="s">
        <v>155</v>
      </c>
      <c r="E4" s="6" t="s">
        <v>156</v>
      </c>
      <c r="F4" s="6" t="s">
        <v>157</v>
      </c>
      <c r="G4" s="6" t="s">
        <v>158</v>
      </c>
      <c r="H4" s="10" t="s">
        <v>159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41.55" customHeight="1">
      <c r="A5" s="7" t="s">
        <v>160</v>
      </c>
      <c r="B5" s="7" t="s">
        <v>161</v>
      </c>
      <c r="C5" s="7" t="s">
        <v>162</v>
      </c>
      <c r="D5" s="7" t="s">
        <v>163</v>
      </c>
      <c r="E5" s="7" t="s">
        <v>164</v>
      </c>
      <c r="F5" s="7" t="s">
        <v>165</v>
      </c>
      <c r="G5" s="7" t="s">
        <v>166</v>
      </c>
      <c r="H5" s="7" t="s">
        <v>167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ht="41.55" customHeight="1">
      <c r="A6" s="7" t="s">
        <v>168</v>
      </c>
      <c r="B6" s="7" t="s">
        <v>169</v>
      </c>
      <c r="C6" s="7" t="s">
        <v>162</v>
      </c>
      <c r="D6" s="7" t="s">
        <v>170</v>
      </c>
      <c r="E6" s="7" t="s">
        <v>171</v>
      </c>
      <c r="F6" s="7" t="s">
        <v>172</v>
      </c>
      <c r="G6" s="7" t="s">
        <v>173</v>
      </c>
      <c r="H6" s="7" t="s">
        <v>174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ht="41.55" customHeight="1">
      <c r="A7" s="7" t="s">
        <v>175</v>
      </c>
      <c r="B7" s="7" t="s">
        <v>176</v>
      </c>
      <c r="C7" s="7" t="s">
        <v>177</v>
      </c>
      <c r="D7" s="7" t="s">
        <v>178</v>
      </c>
      <c r="E7" s="7" t="s">
        <v>179</v>
      </c>
      <c r="F7" s="7" t="s">
        <v>180</v>
      </c>
      <c r="G7" s="7" t="s">
        <v>181</v>
      </c>
      <c r="H7" s="7" t="s">
        <v>182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ht="41.55" customHeight="1">
      <c r="A8" s="7" t="s">
        <v>183</v>
      </c>
      <c r="B8" s="7" t="s">
        <v>184</v>
      </c>
      <c r="C8" s="7" t="s">
        <v>185</v>
      </c>
      <c r="D8" s="7" t="s">
        <v>186</v>
      </c>
      <c r="E8" s="7" t="s">
        <v>187</v>
      </c>
      <c r="F8" s="7" t="s">
        <v>188</v>
      </c>
      <c r="G8" s="7" t="s">
        <v>189</v>
      </c>
      <c r="H8" s="7" t="s">
        <v>190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ht="41.55" customHeight="1">
      <c r="A9" s="7" t="s">
        <v>191</v>
      </c>
      <c r="B9" s="7" t="s">
        <v>192</v>
      </c>
      <c r="C9" s="7" t="s">
        <v>193</v>
      </c>
      <c r="D9" s="7" t="s">
        <v>194</v>
      </c>
      <c r="E9" s="7" t="s">
        <v>195</v>
      </c>
      <c r="F9" s="7" t="s">
        <v>196</v>
      </c>
      <c r="G9" s="7" t="s">
        <v>197</v>
      </c>
      <c r="H9" s="7" t="s">
        <v>198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ht="14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14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ht="14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ht="14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ht="14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ht="14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 ht="14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 ht="14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 ht="14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 ht="14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104"/>
  <sheetViews>
    <sheetView workbookViewId="0"/>
  </sheetViews>
  <sheetFormatPr defaultRowHeight="13.8"/>
  <cols>
    <col min="1" max="1" width="30" customWidth="1"/>
    <col min="2" max="2" width="38" customWidth="1"/>
    <col min="3" max="3" width="34" customWidth="1"/>
    <col min="4" max="4" width="22" customWidth="1"/>
    <col min="5" max="5" width="40" customWidth="1"/>
  </cols>
  <sheetData>
    <row r="1" spans="1:54" ht="23.4">
      <c r="A1" s="11" t="s">
        <v>199</v>
      </c>
      <c r="B1" s="11"/>
      <c r="C1" s="11"/>
      <c r="D1" s="11"/>
      <c r="E1" s="1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14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ht="14.4">
      <c r="A3" s="6" t="s">
        <v>200</v>
      </c>
      <c r="B3" s="6" t="s">
        <v>201</v>
      </c>
      <c r="C3" s="6" t="s">
        <v>202</v>
      </c>
      <c r="D3" s="6" t="s">
        <v>203</v>
      </c>
      <c r="E3" s="6" t="s">
        <v>204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ht="43.2">
      <c r="A4" s="7" t="s">
        <v>21</v>
      </c>
      <c r="B4" s="7" t="s">
        <v>205</v>
      </c>
      <c r="C4" s="7" t="s">
        <v>206</v>
      </c>
      <c r="D4" s="7" t="s">
        <v>207</v>
      </c>
      <c r="E4" s="7" t="s">
        <v>208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43.2">
      <c r="A5" s="7" t="s">
        <v>22</v>
      </c>
      <c r="B5" s="7" t="s">
        <v>209</v>
      </c>
      <c r="C5" s="7" t="s">
        <v>206</v>
      </c>
      <c r="D5" s="7" t="s">
        <v>207</v>
      </c>
      <c r="E5" s="7" t="s">
        <v>208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ht="43.2">
      <c r="A6" s="7" t="s">
        <v>23</v>
      </c>
      <c r="B6" s="7" t="s">
        <v>210</v>
      </c>
      <c r="C6" s="7" t="s">
        <v>206</v>
      </c>
      <c r="D6" s="7" t="s">
        <v>207</v>
      </c>
      <c r="E6" s="7" t="s">
        <v>208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ht="43.2">
      <c r="A7" s="7" t="s">
        <v>24</v>
      </c>
      <c r="B7" s="7" t="s">
        <v>211</v>
      </c>
      <c r="C7" s="7" t="s">
        <v>206</v>
      </c>
      <c r="D7" s="7" t="s">
        <v>207</v>
      </c>
      <c r="E7" s="7" t="s">
        <v>208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ht="43.2">
      <c r="A8" s="7" t="s">
        <v>25</v>
      </c>
      <c r="B8" s="7" t="s">
        <v>212</v>
      </c>
      <c r="C8" s="7" t="s">
        <v>206</v>
      </c>
      <c r="D8" s="7" t="s">
        <v>207</v>
      </c>
      <c r="E8" s="7" t="s">
        <v>208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ht="43.2">
      <c r="A9" s="7" t="s">
        <v>26</v>
      </c>
      <c r="B9" s="7" t="s">
        <v>213</v>
      </c>
      <c r="C9" s="7" t="s">
        <v>206</v>
      </c>
      <c r="D9" s="7" t="s">
        <v>207</v>
      </c>
      <c r="E9" s="7" t="s">
        <v>208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ht="43.2">
      <c r="A10" s="7" t="s">
        <v>27</v>
      </c>
      <c r="B10" s="7" t="s">
        <v>214</v>
      </c>
      <c r="C10" s="7" t="s">
        <v>206</v>
      </c>
      <c r="D10" s="7" t="s">
        <v>215</v>
      </c>
      <c r="E10" s="7" t="s">
        <v>208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43.2">
      <c r="A11" s="7" t="s">
        <v>28</v>
      </c>
      <c r="B11" s="7" t="s">
        <v>216</v>
      </c>
      <c r="C11" s="7" t="s">
        <v>206</v>
      </c>
      <c r="D11" s="7" t="s">
        <v>207</v>
      </c>
      <c r="E11" s="7" t="s">
        <v>208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ht="43.2">
      <c r="A12" s="7" t="s">
        <v>29</v>
      </c>
      <c r="B12" s="7" t="s">
        <v>217</v>
      </c>
      <c r="C12" s="7" t="s">
        <v>206</v>
      </c>
      <c r="D12" s="7" t="s">
        <v>215</v>
      </c>
      <c r="E12" s="7" t="s">
        <v>208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43.2">
      <c r="A13" s="7" t="s">
        <v>30</v>
      </c>
      <c r="B13" s="7" t="s">
        <v>218</v>
      </c>
      <c r="C13" s="7" t="s">
        <v>206</v>
      </c>
      <c r="D13" s="7" t="s">
        <v>215</v>
      </c>
      <c r="E13" s="7" t="s">
        <v>208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ht="43.2">
      <c r="A14" s="7" t="s">
        <v>31</v>
      </c>
      <c r="B14" s="7" t="s">
        <v>219</v>
      </c>
      <c r="C14" s="7" t="s">
        <v>206</v>
      </c>
      <c r="D14" s="7" t="s">
        <v>215</v>
      </c>
      <c r="E14" s="7" t="s">
        <v>208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ht="43.2">
      <c r="A15" s="7" t="s">
        <v>32</v>
      </c>
      <c r="B15" s="7" t="s">
        <v>220</v>
      </c>
      <c r="C15" s="7" t="s">
        <v>206</v>
      </c>
      <c r="D15" s="7" t="s">
        <v>215</v>
      </c>
      <c r="E15" s="7" t="s">
        <v>208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ht="43.2">
      <c r="A16" s="7" t="s">
        <v>33</v>
      </c>
      <c r="B16" s="7" t="s">
        <v>221</v>
      </c>
      <c r="C16" s="7" t="s">
        <v>206</v>
      </c>
      <c r="D16" s="7" t="s">
        <v>207</v>
      </c>
      <c r="E16" s="7" t="s">
        <v>208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ht="43.2">
      <c r="A17" s="7" t="s">
        <v>34</v>
      </c>
      <c r="B17" s="7" t="s">
        <v>222</v>
      </c>
      <c r="C17" s="7" t="s">
        <v>206</v>
      </c>
      <c r="D17" s="7" t="s">
        <v>207</v>
      </c>
      <c r="E17" s="7" t="s">
        <v>208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ht="43.2">
      <c r="A18" s="7" t="s">
        <v>35</v>
      </c>
      <c r="B18" s="7" t="s">
        <v>223</v>
      </c>
      <c r="C18" s="7" t="s">
        <v>206</v>
      </c>
      <c r="D18" s="7" t="s">
        <v>207</v>
      </c>
      <c r="E18" s="7" t="s">
        <v>208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ht="43.2">
      <c r="A19" s="7" t="s">
        <v>36</v>
      </c>
      <c r="B19" s="7" t="s">
        <v>224</v>
      </c>
      <c r="C19" s="7" t="s">
        <v>206</v>
      </c>
      <c r="D19" s="7" t="s">
        <v>207</v>
      </c>
      <c r="E19" s="7" t="s">
        <v>208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ht="43.2">
      <c r="A20" s="7" t="s">
        <v>37</v>
      </c>
      <c r="B20" s="7" t="s">
        <v>225</v>
      </c>
      <c r="C20" s="7" t="s">
        <v>206</v>
      </c>
      <c r="D20" s="7" t="s">
        <v>215</v>
      </c>
      <c r="E20" s="7" t="s">
        <v>208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ht="43.2">
      <c r="A21" s="7" t="s">
        <v>38</v>
      </c>
      <c r="B21" s="7" t="s">
        <v>226</v>
      </c>
      <c r="C21" s="7" t="s">
        <v>206</v>
      </c>
      <c r="D21" s="7" t="s">
        <v>207</v>
      </c>
      <c r="E21" s="7" t="s">
        <v>208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ht="43.2">
      <c r="A22" s="7" t="s">
        <v>39</v>
      </c>
      <c r="B22" s="7" t="s">
        <v>227</v>
      </c>
      <c r="C22" s="7" t="s">
        <v>206</v>
      </c>
      <c r="D22" s="7" t="s">
        <v>207</v>
      </c>
      <c r="E22" s="7" t="s">
        <v>208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ht="43.2">
      <c r="A23" s="7" t="s">
        <v>40</v>
      </c>
      <c r="B23" s="7" t="s">
        <v>228</v>
      </c>
      <c r="C23" s="7" t="s">
        <v>206</v>
      </c>
      <c r="D23" s="7" t="s">
        <v>215</v>
      </c>
      <c r="E23" s="7" t="s">
        <v>208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ht="43.2">
      <c r="A24" s="7" t="s">
        <v>41</v>
      </c>
      <c r="B24" s="7" t="s">
        <v>229</v>
      </c>
      <c r="C24" s="7" t="s">
        <v>206</v>
      </c>
      <c r="D24" s="7" t="s">
        <v>215</v>
      </c>
      <c r="E24" s="7" t="s">
        <v>208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ht="43.2">
      <c r="A25" s="7" t="s">
        <v>42</v>
      </c>
      <c r="B25" s="7" t="s">
        <v>230</v>
      </c>
      <c r="C25" s="7" t="s">
        <v>206</v>
      </c>
      <c r="D25" s="7" t="s">
        <v>207</v>
      </c>
      <c r="E25" s="7" t="s">
        <v>208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ht="43.2">
      <c r="A26" s="7" t="s">
        <v>43</v>
      </c>
      <c r="B26" s="7" t="s">
        <v>231</v>
      </c>
      <c r="C26" s="7" t="s">
        <v>206</v>
      </c>
      <c r="D26" s="7" t="s">
        <v>215</v>
      </c>
      <c r="E26" s="7" t="s">
        <v>208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ht="43.2">
      <c r="A27" s="7" t="s">
        <v>44</v>
      </c>
      <c r="B27" s="7" t="s">
        <v>232</v>
      </c>
      <c r="C27" s="7" t="s">
        <v>206</v>
      </c>
      <c r="D27" s="7" t="s">
        <v>207</v>
      </c>
      <c r="E27" s="7" t="s">
        <v>208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ht="43.2">
      <c r="A28" s="7" t="s">
        <v>45</v>
      </c>
      <c r="B28" s="7" t="s">
        <v>233</v>
      </c>
      <c r="C28" s="7" t="s">
        <v>206</v>
      </c>
      <c r="D28" s="7" t="s">
        <v>215</v>
      </c>
      <c r="E28" s="7" t="s">
        <v>208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ht="43.2">
      <c r="A29" s="7" t="s">
        <v>46</v>
      </c>
      <c r="B29" s="7" t="s">
        <v>234</v>
      </c>
      <c r="C29" s="7" t="s">
        <v>206</v>
      </c>
      <c r="D29" s="7" t="s">
        <v>207</v>
      </c>
      <c r="E29" s="7" t="s">
        <v>208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ht="43.2">
      <c r="A30" s="7" t="s">
        <v>47</v>
      </c>
      <c r="B30" s="7" t="s">
        <v>235</v>
      </c>
      <c r="C30" s="7" t="s">
        <v>206</v>
      </c>
      <c r="D30" s="7" t="s">
        <v>215</v>
      </c>
      <c r="E30" s="7" t="s">
        <v>208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 ht="43.2">
      <c r="A31" s="7" t="s">
        <v>48</v>
      </c>
      <c r="B31" s="7" t="s">
        <v>236</v>
      </c>
      <c r="C31" s="7" t="s">
        <v>206</v>
      </c>
      <c r="D31" s="7" t="s">
        <v>207</v>
      </c>
      <c r="E31" s="7" t="s">
        <v>208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 ht="43.2">
      <c r="A32" s="7" t="s">
        <v>49</v>
      </c>
      <c r="B32" s="7" t="s">
        <v>237</v>
      </c>
      <c r="C32" s="7" t="s">
        <v>206</v>
      </c>
      <c r="D32" s="7" t="s">
        <v>207</v>
      </c>
      <c r="E32" s="7" t="s">
        <v>208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ht="43.2">
      <c r="A33" s="7" t="s">
        <v>50</v>
      </c>
      <c r="B33" s="7" t="s">
        <v>238</v>
      </c>
      <c r="C33" s="7" t="s">
        <v>206</v>
      </c>
      <c r="D33" s="7" t="s">
        <v>207</v>
      </c>
      <c r="E33" s="7" t="s">
        <v>208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ht="43.2">
      <c r="A34" s="7" t="s">
        <v>51</v>
      </c>
      <c r="B34" s="7" t="s">
        <v>239</v>
      </c>
      <c r="C34" s="7" t="s">
        <v>206</v>
      </c>
      <c r="D34" s="7" t="s">
        <v>207</v>
      </c>
      <c r="E34" s="7" t="s">
        <v>208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ht="43.2">
      <c r="A35" s="7" t="s">
        <v>52</v>
      </c>
      <c r="B35" s="7" t="s">
        <v>240</v>
      </c>
      <c r="C35" s="7" t="s">
        <v>206</v>
      </c>
      <c r="D35" s="7" t="s">
        <v>207</v>
      </c>
      <c r="E35" s="7" t="s">
        <v>208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 ht="43.2">
      <c r="A36" s="7" t="s">
        <v>53</v>
      </c>
      <c r="B36" s="7" t="s">
        <v>241</v>
      </c>
      <c r="C36" s="7" t="s">
        <v>206</v>
      </c>
      <c r="D36" s="7" t="s">
        <v>207</v>
      </c>
      <c r="E36" s="7" t="s">
        <v>208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 ht="43.2">
      <c r="A37" s="7" t="s">
        <v>54</v>
      </c>
      <c r="B37" s="7" t="s">
        <v>242</v>
      </c>
      <c r="C37" s="7" t="s">
        <v>206</v>
      </c>
      <c r="D37" s="7" t="s">
        <v>215</v>
      </c>
      <c r="E37" s="7" t="s">
        <v>208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 ht="43.2">
      <c r="A38" s="7" t="s">
        <v>55</v>
      </c>
      <c r="B38" s="7" t="s">
        <v>243</v>
      </c>
      <c r="C38" s="7" t="s">
        <v>206</v>
      </c>
      <c r="D38" s="7" t="s">
        <v>207</v>
      </c>
      <c r="E38" s="7" t="s">
        <v>208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 ht="43.2">
      <c r="A39" s="7" t="s">
        <v>56</v>
      </c>
      <c r="B39" s="7" t="s">
        <v>244</v>
      </c>
      <c r="C39" s="7" t="s">
        <v>206</v>
      </c>
      <c r="D39" s="7" t="s">
        <v>207</v>
      </c>
      <c r="E39" s="7" t="s">
        <v>208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ht="43.2">
      <c r="A40" s="7" t="s">
        <v>57</v>
      </c>
      <c r="B40" s="7" t="s">
        <v>245</v>
      </c>
      <c r="C40" s="7" t="s">
        <v>206</v>
      </c>
      <c r="D40" s="7" t="s">
        <v>215</v>
      </c>
      <c r="E40" s="7" t="s">
        <v>208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 ht="43.2">
      <c r="A41" s="7" t="s">
        <v>58</v>
      </c>
      <c r="B41" s="7" t="s">
        <v>246</v>
      </c>
      <c r="C41" s="7" t="s">
        <v>206</v>
      </c>
      <c r="D41" s="7" t="s">
        <v>207</v>
      </c>
      <c r="E41" s="7" t="s">
        <v>208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 ht="43.2">
      <c r="A42" s="7" t="s">
        <v>59</v>
      </c>
      <c r="B42" s="7" t="s">
        <v>247</v>
      </c>
      <c r="C42" s="7" t="s">
        <v>206</v>
      </c>
      <c r="D42" s="7" t="s">
        <v>215</v>
      </c>
      <c r="E42" s="7" t="s">
        <v>208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 ht="43.2">
      <c r="A43" s="7" t="s">
        <v>60</v>
      </c>
      <c r="B43" s="7" t="s">
        <v>248</v>
      </c>
      <c r="C43" s="7" t="s">
        <v>206</v>
      </c>
      <c r="D43" s="7" t="s">
        <v>215</v>
      </c>
      <c r="E43" s="7" t="s">
        <v>208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 ht="43.2">
      <c r="A44" s="7" t="s">
        <v>61</v>
      </c>
      <c r="B44" s="7" t="s">
        <v>249</v>
      </c>
      <c r="C44" s="7" t="s">
        <v>206</v>
      </c>
      <c r="D44" s="7" t="s">
        <v>215</v>
      </c>
      <c r="E44" s="7" t="s">
        <v>208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 ht="43.2">
      <c r="A45" s="7" t="s">
        <v>62</v>
      </c>
      <c r="B45" s="7" t="s">
        <v>250</v>
      </c>
      <c r="C45" s="7" t="s">
        <v>206</v>
      </c>
      <c r="D45" s="7" t="s">
        <v>215</v>
      </c>
      <c r="E45" s="7" t="s">
        <v>208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 ht="43.2">
      <c r="A46" s="7" t="s">
        <v>63</v>
      </c>
      <c r="B46" s="7" t="s">
        <v>251</v>
      </c>
      <c r="C46" s="7" t="s">
        <v>206</v>
      </c>
      <c r="D46" s="7" t="s">
        <v>215</v>
      </c>
      <c r="E46" s="7" t="s">
        <v>208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 ht="43.2">
      <c r="A47" s="7" t="s">
        <v>64</v>
      </c>
      <c r="B47" s="7" t="s">
        <v>252</v>
      </c>
      <c r="C47" s="7" t="s">
        <v>206</v>
      </c>
      <c r="D47" s="7" t="s">
        <v>207</v>
      </c>
      <c r="E47" s="7" t="s">
        <v>208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 ht="43.2">
      <c r="A48" s="7" t="s">
        <v>65</v>
      </c>
      <c r="B48" s="7" t="s">
        <v>253</v>
      </c>
      <c r="C48" s="7" t="s">
        <v>206</v>
      </c>
      <c r="D48" s="7" t="s">
        <v>215</v>
      </c>
      <c r="E48" s="7" t="s">
        <v>208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 ht="43.2">
      <c r="A49" s="7" t="s">
        <v>66</v>
      </c>
      <c r="B49" s="7" t="s">
        <v>254</v>
      </c>
      <c r="C49" s="7" t="s">
        <v>206</v>
      </c>
      <c r="D49" s="7" t="s">
        <v>207</v>
      </c>
      <c r="E49" s="7" t="s">
        <v>208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 ht="43.2">
      <c r="A50" s="7" t="s">
        <v>67</v>
      </c>
      <c r="B50" s="7" t="s">
        <v>255</v>
      </c>
      <c r="C50" s="7" t="s">
        <v>206</v>
      </c>
      <c r="D50" s="7" t="s">
        <v>207</v>
      </c>
      <c r="E50" s="7" t="s">
        <v>208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 ht="43.2">
      <c r="A51" s="7" t="s">
        <v>68</v>
      </c>
      <c r="B51" s="7" t="s">
        <v>256</v>
      </c>
      <c r="C51" s="7" t="s">
        <v>206</v>
      </c>
      <c r="D51" s="7" t="s">
        <v>215</v>
      </c>
      <c r="E51" s="7" t="s">
        <v>208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 ht="43.2">
      <c r="A52" s="7" t="s">
        <v>69</v>
      </c>
      <c r="B52" s="7" t="s">
        <v>257</v>
      </c>
      <c r="C52" s="7" t="s">
        <v>206</v>
      </c>
      <c r="D52" s="7" t="s">
        <v>207</v>
      </c>
      <c r="E52" s="7" t="s">
        <v>208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 ht="43.2">
      <c r="A53" s="7" t="s">
        <v>70</v>
      </c>
      <c r="B53" s="7" t="s">
        <v>258</v>
      </c>
      <c r="C53" s="7" t="s">
        <v>206</v>
      </c>
      <c r="D53" s="7" t="s">
        <v>207</v>
      </c>
      <c r="E53" s="7" t="s">
        <v>208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 ht="43.2">
      <c r="A54" s="7" t="s">
        <v>71</v>
      </c>
      <c r="B54" s="7" t="s">
        <v>259</v>
      </c>
      <c r="C54" s="7" t="s">
        <v>206</v>
      </c>
      <c r="D54" s="7" t="s">
        <v>207</v>
      </c>
      <c r="E54" s="7" t="s">
        <v>208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 ht="43.2">
      <c r="A55" s="7" t="s">
        <v>72</v>
      </c>
      <c r="B55" s="7" t="s">
        <v>260</v>
      </c>
      <c r="C55" s="7" t="s">
        <v>206</v>
      </c>
      <c r="D55" s="7" t="s">
        <v>261</v>
      </c>
      <c r="E55" s="7" t="s">
        <v>208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 ht="43.2">
      <c r="A56" s="7" t="s">
        <v>73</v>
      </c>
      <c r="B56" s="7" t="s">
        <v>262</v>
      </c>
      <c r="C56" s="7" t="s">
        <v>206</v>
      </c>
      <c r="D56" s="7" t="s">
        <v>261</v>
      </c>
      <c r="E56" s="7" t="s">
        <v>208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 ht="43.2">
      <c r="A57" s="7" t="s">
        <v>74</v>
      </c>
      <c r="B57" s="7" t="s">
        <v>263</v>
      </c>
      <c r="C57" s="7" t="s">
        <v>206</v>
      </c>
      <c r="D57" s="7" t="s">
        <v>207</v>
      </c>
      <c r="E57" s="7" t="s">
        <v>208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 ht="14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 ht="14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 ht="14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 ht="14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106"/>
  <sheetViews>
    <sheetView workbookViewId="0"/>
  </sheetViews>
  <sheetFormatPr defaultRowHeight="13.8"/>
  <cols>
    <col min="1" max="1" width="30" customWidth="1"/>
    <col min="2" max="2" width="34" customWidth="1"/>
  </cols>
  <sheetData>
    <row r="1" spans="1:54" ht="14.4">
      <c r="A1" s="6" t="s">
        <v>264</v>
      </c>
      <c r="B1" s="6" t="s">
        <v>265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14.4">
      <c r="A2" s="7" t="s">
        <v>27</v>
      </c>
      <c r="B2" s="7" t="s">
        <v>81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ht="14.4">
      <c r="A3" s="7" t="s">
        <v>27</v>
      </c>
      <c r="B3" s="7" t="s">
        <v>266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ht="14.4">
      <c r="A4" s="7" t="s">
        <v>27</v>
      </c>
      <c r="B4" s="7" t="s">
        <v>267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14.4">
      <c r="A5" s="7" t="s">
        <v>27</v>
      </c>
      <c r="B5" s="7" t="s">
        <v>268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ht="14.4">
      <c r="A6" s="7" t="s">
        <v>27</v>
      </c>
      <c r="B6" s="7" t="s">
        <v>269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ht="14.4">
      <c r="A7" s="7" t="s">
        <v>27</v>
      </c>
      <c r="B7" s="7" t="s">
        <v>270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ht="14.4">
      <c r="A8" s="7" t="s">
        <v>29</v>
      </c>
      <c r="B8" s="7" t="s">
        <v>83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ht="14.4">
      <c r="A9" s="7" t="s">
        <v>29</v>
      </c>
      <c r="B9" s="7" t="s">
        <v>271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ht="14.4">
      <c r="A10" s="7" t="s">
        <v>29</v>
      </c>
      <c r="B10" s="7" t="s">
        <v>272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14.4">
      <c r="A11" s="7" t="s">
        <v>29</v>
      </c>
      <c r="B11" s="7" t="s">
        <v>273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ht="14.4">
      <c r="A12" s="7" t="s">
        <v>29</v>
      </c>
      <c r="B12" s="7" t="s">
        <v>274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14.4">
      <c r="A13" s="7" t="s">
        <v>29</v>
      </c>
      <c r="B13" s="7" t="s">
        <v>275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ht="14.4">
      <c r="A14" s="7" t="s">
        <v>29</v>
      </c>
      <c r="B14" s="7" t="s">
        <v>276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ht="14.4">
      <c r="A15" s="7" t="s">
        <v>29</v>
      </c>
      <c r="B15" s="7" t="s">
        <v>277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ht="14.4">
      <c r="A16" s="7" t="s">
        <v>30</v>
      </c>
      <c r="B16" s="7" t="s">
        <v>278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ht="14.4">
      <c r="A17" s="7" t="s">
        <v>30</v>
      </c>
      <c r="B17" s="7" t="s">
        <v>279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ht="14.4">
      <c r="A18" s="7" t="s">
        <v>30</v>
      </c>
      <c r="B18" s="7" t="s">
        <v>13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ht="14.4">
      <c r="A19" s="7" t="s">
        <v>30</v>
      </c>
      <c r="B19" s="7" t="s">
        <v>280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ht="14.4">
      <c r="A20" s="7" t="s">
        <v>30</v>
      </c>
      <c r="B20" s="7" t="s">
        <v>281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ht="14.4">
      <c r="A21" s="7" t="s">
        <v>30</v>
      </c>
      <c r="B21" s="7" t="s">
        <v>282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ht="14.4">
      <c r="A22" s="7" t="s">
        <v>30</v>
      </c>
      <c r="B22" s="7" t="s">
        <v>283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ht="14.4">
      <c r="A23" s="7" t="s">
        <v>31</v>
      </c>
      <c r="B23" s="7" t="s">
        <v>84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ht="14.4">
      <c r="A24" s="7" t="s">
        <v>31</v>
      </c>
      <c r="B24" s="7" t="s">
        <v>125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ht="14.4">
      <c r="A25" s="7" t="s">
        <v>31</v>
      </c>
      <c r="B25" s="7" t="s">
        <v>284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ht="14.4">
      <c r="A26" s="7" t="s">
        <v>31</v>
      </c>
      <c r="B26" s="7" t="s">
        <v>285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ht="14.4">
      <c r="A27" s="7" t="s">
        <v>31</v>
      </c>
      <c r="B27" s="7" t="s">
        <v>286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ht="14.4">
      <c r="A28" s="7" t="s">
        <v>31</v>
      </c>
      <c r="B28" s="7" t="s">
        <v>269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ht="14.4">
      <c r="A29" s="7" t="s">
        <v>31</v>
      </c>
      <c r="B29" s="7" t="s">
        <v>270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ht="14.4">
      <c r="A30" s="7" t="s">
        <v>32</v>
      </c>
      <c r="B30" s="7" t="s">
        <v>287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 ht="14.4">
      <c r="A31" s="7" t="s">
        <v>32</v>
      </c>
      <c r="B31" s="7" t="s">
        <v>85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 ht="14.4">
      <c r="A32" s="7" t="s">
        <v>32</v>
      </c>
      <c r="B32" s="7" t="s">
        <v>288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ht="14.4">
      <c r="A33" s="7" t="s">
        <v>32</v>
      </c>
      <c r="B33" s="7" t="s">
        <v>281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ht="14.4">
      <c r="A34" s="7" t="s">
        <v>32</v>
      </c>
      <c r="B34" s="7" t="s">
        <v>282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ht="14.4">
      <c r="A35" s="7" t="s">
        <v>32</v>
      </c>
      <c r="B35" s="7" t="s">
        <v>283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 ht="14.4">
      <c r="A36" s="7" t="s">
        <v>37</v>
      </c>
      <c r="B36" s="7" t="s">
        <v>90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 ht="14.4">
      <c r="A37" s="7" t="s">
        <v>37</v>
      </c>
      <c r="B37" s="7" t="s">
        <v>93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 ht="14.4">
      <c r="A38" s="7" t="s">
        <v>37</v>
      </c>
      <c r="B38" s="7" t="s">
        <v>270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 ht="14.4">
      <c r="A39" s="7" t="s">
        <v>37</v>
      </c>
      <c r="B39" s="7" t="s">
        <v>289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ht="14.4">
      <c r="A40" s="7" t="s">
        <v>40</v>
      </c>
      <c r="B40" s="7" t="s">
        <v>90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 ht="14.4">
      <c r="A41" s="7" t="s">
        <v>40</v>
      </c>
      <c r="B41" s="7" t="s">
        <v>93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 ht="14.4">
      <c r="A42" s="7" t="s">
        <v>40</v>
      </c>
      <c r="B42" s="7" t="s">
        <v>270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 ht="14.4">
      <c r="A43" s="7" t="s">
        <v>40</v>
      </c>
      <c r="B43" s="7" t="s">
        <v>289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 ht="14.4">
      <c r="A44" s="7" t="s">
        <v>41</v>
      </c>
      <c r="B44" s="7" t="s">
        <v>94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 ht="14.4">
      <c r="A45" s="7" t="s">
        <v>41</v>
      </c>
      <c r="B45" s="7" t="s">
        <v>290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 ht="14.4">
      <c r="A46" s="7" t="s">
        <v>41</v>
      </c>
      <c r="B46" s="7" t="s">
        <v>291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 ht="14.4">
      <c r="A47" s="7" t="s">
        <v>41</v>
      </c>
      <c r="B47" s="7" t="s">
        <v>289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 ht="14.4">
      <c r="A48" s="7" t="s">
        <v>43</v>
      </c>
      <c r="B48" s="7" t="s">
        <v>292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 ht="14.4">
      <c r="A49" s="7" t="s">
        <v>43</v>
      </c>
      <c r="B49" s="7" t="s">
        <v>96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 ht="14.4">
      <c r="A50" s="7" t="s">
        <v>43</v>
      </c>
      <c r="B50" s="7" t="s">
        <v>293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 ht="14.4">
      <c r="A51" s="7" t="s">
        <v>43</v>
      </c>
      <c r="B51" s="7" t="s">
        <v>294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 ht="14.4">
      <c r="A52" s="7" t="s">
        <v>43</v>
      </c>
      <c r="B52" s="7" t="s">
        <v>295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 ht="14.4">
      <c r="A53" s="7" t="s">
        <v>43</v>
      </c>
      <c r="B53" s="7" t="s">
        <v>296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 ht="14.4">
      <c r="A54" s="7" t="s">
        <v>43</v>
      </c>
      <c r="B54" s="7" t="s">
        <v>270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 ht="14.4">
      <c r="A55" s="7" t="s">
        <v>45</v>
      </c>
      <c r="B55" s="7" t="s">
        <v>297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 ht="14.4">
      <c r="A56" s="7" t="s">
        <v>45</v>
      </c>
      <c r="B56" s="7" t="s">
        <v>298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 ht="14.4">
      <c r="A57" s="7" t="s">
        <v>45</v>
      </c>
      <c r="B57" s="7" t="s">
        <v>299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 ht="14.4">
      <c r="A58" s="7" t="s">
        <v>45</v>
      </c>
      <c r="B58" s="7" t="s">
        <v>98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 ht="14.4">
      <c r="A59" s="7" t="s">
        <v>45</v>
      </c>
      <c r="B59" s="7" t="s">
        <v>300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 ht="14.4">
      <c r="A60" s="7" t="s">
        <v>47</v>
      </c>
      <c r="B60" s="7" t="s">
        <v>301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 ht="14.4">
      <c r="A61" s="7" t="s">
        <v>47</v>
      </c>
      <c r="B61" s="7" t="s">
        <v>302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 ht="14.4">
      <c r="A62" s="7" t="s">
        <v>47</v>
      </c>
      <c r="B62" s="7" t="s">
        <v>100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 ht="14.4">
      <c r="A63" s="7" t="s">
        <v>47</v>
      </c>
      <c r="B63" s="7" t="s">
        <v>303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 ht="14.4">
      <c r="A64" s="7" t="s">
        <v>47</v>
      </c>
      <c r="B64" s="7" t="s">
        <v>304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 ht="14.4">
      <c r="A65" s="7" t="s">
        <v>47</v>
      </c>
      <c r="B65" s="7" t="s">
        <v>289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 ht="14.4">
      <c r="A66" s="7" t="s">
        <v>54</v>
      </c>
      <c r="B66" s="7" t="s">
        <v>289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 ht="14.4">
      <c r="A67" s="7" t="s">
        <v>54</v>
      </c>
      <c r="B67" s="7" t="s">
        <v>305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 ht="14.4">
      <c r="A68" s="7" t="s">
        <v>54</v>
      </c>
      <c r="B68" s="7" t="s">
        <v>107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 ht="14.4">
      <c r="A69" s="7" t="s">
        <v>54</v>
      </c>
      <c r="B69" s="7" t="s">
        <v>306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 ht="14.4">
      <c r="A70" s="7" t="s">
        <v>54</v>
      </c>
      <c r="B70" s="7" t="s">
        <v>307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 ht="14.4">
      <c r="A71" s="7" t="s">
        <v>57</v>
      </c>
      <c r="B71" s="7" t="s">
        <v>308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 ht="14.4">
      <c r="A72" s="7" t="s">
        <v>57</v>
      </c>
      <c r="B72" s="7" t="s">
        <v>100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 ht="14.4">
      <c r="A73" s="7" t="s">
        <v>57</v>
      </c>
      <c r="B73" s="7" t="s">
        <v>11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 ht="14.4">
      <c r="A74" s="7" t="s">
        <v>57</v>
      </c>
      <c r="B74" s="7" t="s">
        <v>309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 ht="14.4">
      <c r="A75" s="7" t="s">
        <v>59</v>
      </c>
      <c r="B75" s="7" t="s">
        <v>308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 ht="14.4">
      <c r="A76" s="7" t="s">
        <v>59</v>
      </c>
      <c r="B76" s="7" t="s">
        <v>100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 ht="14.4">
      <c r="A77" s="7" t="s">
        <v>59</v>
      </c>
      <c r="B77" s="7" t="s">
        <v>11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 ht="14.4">
      <c r="A78" s="7" t="s">
        <v>59</v>
      </c>
      <c r="B78" s="7" t="s">
        <v>307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 ht="14.4">
      <c r="A79" s="7" t="s">
        <v>60</v>
      </c>
      <c r="B79" s="7" t="s">
        <v>308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 ht="14.4">
      <c r="A80" s="7" t="s">
        <v>60</v>
      </c>
      <c r="B80" s="7" t="s">
        <v>100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 ht="14.4">
      <c r="A81" s="7" t="s">
        <v>60</v>
      </c>
      <c r="B81" s="7" t="s">
        <v>11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 ht="14.4">
      <c r="A82" s="7" t="s">
        <v>60</v>
      </c>
      <c r="B82" s="7" t="s">
        <v>307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 ht="14.4">
      <c r="A83" s="7" t="s">
        <v>61</v>
      </c>
      <c r="B83" s="7" t="s">
        <v>308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 ht="14.4">
      <c r="A84" s="7" t="s">
        <v>61</v>
      </c>
      <c r="B84" s="7" t="s">
        <v>100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 ht="14.4">
      <c r="A85" s="7" t="s">
        <v>61</v>
      </c>
      <c r="B85" s="7" t="s">
        <v>11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 ht="14.4">
      <c r="A86" s="7" t="s">
        <v>61</v>
      </c>
      <c r="B86" s="7" t="s">
        <v>307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 ht="14.4">
      <c r="A87" s="7" t="s">
        <v>62</v>
      </c>
      <c r="B87" s="7" t="s">
        <v>308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 ht="14.4">
      <c r="A88" s="7" t="s">
        <v>62</v>
      </c>
      <c r="B88" s="7" t="s">
        <v>100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 ht="14.4">
      <c r="A89" s="7" t="s">
        <v>62</v>
      </c>
      <c r="B89" s="7" t="s">
        <v>11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 ht="14.4">
      <c r="A90" s="7" t="s">
        <v>62</v>
      </c>
      <c r="B90" s="7" t="s">
        <v>307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 ht="14.4">
      <c r="A91" s="7" t="s">
        <v>63</v>
      </c>
      <c r="B91" s="7" t="s">
        <v>116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 ht="14.4">
      <c r="A92" s="7" t="s">
        <v>63</v>
      </c>
      <c r="B92" s="7" t="s">
        <v>111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 ht="14.4">
      <c r="A93" s="7" t="s">
        <v>63</v>
      </c>
      <c r="B93" s="7" t="s">
        <v>310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 ht="14.4">
      <c r="A94" s="7" t="s">
        <v>63</v>
      </c>
      <c r="B94" s="7" t="s">
        <v>311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 ht="14.4">
      <c r="A95" s="7" t="s">
        <v>63</v>
      </c>
      <c r="B95" s="7" t="s">
        <v>312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 ht="14.4">
      <c r="A96" s="7" t="s">
        <v>63</v>
      </c>
      <c r="B96" s="7" t="s">
        <v>313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 ht="14.4">
      <c r="A97" s="7" t="s">
        <v>63</v>
      </c>
      <c r="B97" s="7" t="s">
        <v>291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 ht="14.4">
      <c r="A98" s="7" t="s">
        <v>65</v>
      </c>
      <c r="B98" s="7" t="s">
        <v>90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 ht="14.4">
      <c r="A99" s="7" t="s">
        <v>65</v>
      </c>
      <c r="B99" s="7" t="s">
        <v>93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 ht="14.4">
      <c r="A100" s="7" t="s">
        <v>65</v>
      </c>
      <c r="B100" s="7" t="s">
        <v>314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 ht="14.4">
      <c r="A101" s="7" t="s">
        <v>68</v>
      </c>
      <c r="B101" s="7" t="s">
        <v>115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 ht="14.4">
      <c r="A102" s="7" t="s">
        <v>68</v>
      </c>
      <c r="B102" s="7" t="s">
        <v>147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 ht="14.4">
      <c r="A103" s="7" t="s">
        <v>68</v>
      </c>
      <c r="B103" s="7" t="s">
        <v>315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 ht="14.4">
      <c r="A104" s="7" t="s">
        <v>68</v>
      </c>
      <c r="B104" s="7" t="s">
        <v>316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spans="1:54">
      <c r="A105" s="1" t="s">
        <v>68</v>
      </c>
      <c r="B105" s="1" t="s">
        <v>307</v>
      </c>
    </row>
    <row r="106" spans="1:54">
      <c r="A106" s="1"/>
      <c r="B1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AI System Inventory</vt:lpstr>
      <vt:lpstr>Governance Reference</vt:lpstr>
      <vt:lpstr>Field Guide</vt:lpstr>
      <vt:lpstr>Controlled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2026-10-22T12:51:04Z</dcterms:modified>
</cp:coreProperties>
</file>