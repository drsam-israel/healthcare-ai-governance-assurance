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5A76167-B930-42E1-894E-5D6105C5C47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01_AI_Risk_Register" sheetId="1" r:id="rId1"/>
    <sheet name="02_Risk_Matrix" sheetId="2" r:id="rId2"/>
    <sheet name="03_Risk_Library" sheetId="3" r:id="rId3"/>
    <sheet name="04_Guidance_Li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5" i="1" l="1"/>
  <c r="P25" i="1" s="1"/>
  <c r="J25" i="1"/>
  <c r="K25" i="1" s="1"/>
  <c r="O24" i="1"/>
  <c r="P24" i="1" s="1"/>
  <c r="J24" i="1"/>
  <c r="K24" i="1" s="1"/>
  <c r="P23" i="1"/>
  <c r="O23" i="1"/>
  <c r="J23" i="1"/>
  <c r="K23" i="1" s="1"/>
  <c r="O22" i="1"/>
  <c r="P22" i="1" s="1"/>
  <c r="J22" i="1"/>
  <c r="K22" i="1" s="1"/>
  <c r="O21" i="1"/>
  <c r="P21" i="1" s="1"/>
  <c r="J21" i="1"/>
  <c r="K21" i="1" s="1"/>
  <c r="O20" i="1"/>
  <c r="P20" i="1" s="1"/>
  <c r="J20" i="1"/>
  <c r="K20" i="1" s="1"/>
  <c r="O19" i="1"/>
  <c r="P19" i="1" s="1"/>
  <c r="K19" i="1"/>
  <c r="J19" i="1"/>
  <c r="O18" i="1"/>
  <c r="P18" i="1" s="1"/>
  <c r="J18" i="1"/>
  <c r="K18" i="1" s="1"/>
  <c r="O17" i="1"/>
  <c r="P17" i="1" s="1"/>
  <c r="J17" i="1"/>
  <c r="K17" i="1" s="1"/>
  <c r="O16" i="1"/>
  <c r="P16" i="1" s="1"/>
  <c r="J16" i="1"/>
  <c r="K16" i="1" s="1"/>
  <c r="O15" i="1"/>
  <c r="P15" i="1" s="1"/>
  <c r="J15" i="1"/>
  <c r="K15" i="1" s="1"/>
  <c r="O14" i="1"/>
  <c r="P14" i="1" s="1"/>
  <c r="J14" i="1"/>
  <c r="K14" i="1" s="1"/>
  <c r="O13" i="1"/>
  <c r="P13" i="1" s="1"/>
  <c r="J13" i="1"/>
  <c r="K13" i="1" s="1"/>
  <c r="O12" i="1"/>
  <c r="P12" i="1" s="1"/>
  <c r="J12" i="1"/>
  <c r="K12" i="1" s="1"/>
  <c r="O11" i="1"/>
  <c r="P11" i="1" s="1"/>
  <c r="J11" i="1"/>
  <c r="K11" i="1" s="1"/>
  <c r="O10" i="1"/>
  <c r="P10" i="1" s="1"/>
  <c r="J10" i="1"/>
  <c r="K10" i="1" s="1"/>
  <c r="O9" i="1"/>
  <c r="P9" i="1" s="1"/>
  <c r="J9" i="1"/>
  <c r="K9" i="1" s="1"/>
  <c r="O8" i="1"/>
  <c r="P8" i="1" s="1"/>
  <c r="J8" i="1"/>
  <c r="K8" i="1" s="1"/>
</calcChain>
</file>

<file path=xl/sharedStrings.xml><?xml version="1.0" encoding="utf-8"?>
<sst xmlns="http://schemas.openxmlformats.org/spreadsheetml/2006/main" count="576" uniqueCount="349">
  <si>
    <t>AI-SYS-001 — 30-Day Diabetes Readmission Clinical AI | ReadmitAI Clinical Intelligence</t>
  </si>
  <si>
    <t>Register Status</t>
  </si>
  <si>
    <t>Active</t>
  </si>
  <si>
    <t>Model</t>
  </si>
  <si>
    <t>DIABETES_READMISSION_XGB_D13_V1 v1.0.0</t>
  </si>
  <si>
    <t>Lifecycle Stage</t>
  </si>
  <si>
    <t>Research &amp; Validation</t>
  </si>
  <si>
    <t>Governance Disposition</t>
  </si>
  <si>
    <t>Conditional Pass</t>
  </si>
  <si>
    <t>Production Clinical Use</t>
  </si>
  <si>
    <t>NOT AUTHORIZED</t>
  </si>
  <si>
    <t>Risk Method</t>
  </si>
  <si>
    <t>5×5 Likelihood × Impact</t>
  </si>
  <si>
    <t>Risk ID</t>
  </si>
  <si>
    <t>Risk Category</t>
  </si>
  <si>
    <t>Risk Statement</t>
  </si>
  <si>
    <t>AI System / Use Case</t>
  </si>
  <si>
    <t>Risk Source / Trigger</t>
  </si>
  <si>
    <t>Risk Owner</t>
  </si>
  <si>
    <t>Inherent Likelihood</t>
  </si>
  <si>
    <t>Inherent Impact</t>
  </si>
  <si>
    <t>Inherent Risk Score</t>
  </si>
  <si>
    <t>Inherent Risk Rating</t>
  </si>
  <si>
    <t>Existing Controls</t>
  </si>
  <si>
    <t>Residual Likelihood</t>
  </si>
  <si>
    <t>Residual Impact</t>
  </si>
  <si>
    <t>Residual Risk Score</t>
  </si>
  <si>
    <t>Residual Risk Rating</t>
  </si>
  <si>
    <t>Treatment</t>
  </si>
  <si>
    <t>Treatment / Mitigation Action</t>
  </si>
  <si>
    <t>Action Owner</t>
  </si>
  <si>
    <t>Status</t>
  </si>
  <si>
    <t>Target Date</t>
  </si>
  <si>
    <t>Next Review Date</t>
  </si>
  <si>
    <t>Evidence / Linked Artifact</t>
  </si>
  <si>
    <t>DR-RISK-001</t>
  </si>
  <si>
    <t>Model Performance</t>
  </si>
  <si>
    <t>Limited discrimination may prevent reliable separation of encounters that will and will not experience 30-day readmission, resulting in missed high-risk patients or unnecessary review.</t>
  </si>
  <si>
    <t>AI-SYS-001</t>
  </si>
  <si>
    <t>Validation</t>
  </si>
  <si>
    <t>ROC-AUC 0.623; PR-AUC 0.182; sensitivity 48.74%</t>
  </si>
  <si>
    <t>Model Owner</t>
  </si>
  <si>
    <t>Frozen threshold; performance disclosed; human review; production use not authorized</t>
  </si>
  <si>
    <t>Mitigate</t>
  </si>
  <si>
    <t>Monitor discrimination and operating-point performance; any model improvement requires controlled change and revalidation.</t>
  </si>
  <si>
    <t>Model Development / Validation Lead</t>
  </si>
  <si>
    <t>Monitoring</t>
  </si>
  <si>
    <t>Clinical AI Model Validation Report — Locked-Test Performance</t>
  </si>
  <si>
    <t>DR-RISK-002</t>
  </si>
  <si>
    <t>Clinical Safety</t>
  </si>
  <si>
    <t>Material reliance on prior utilization may cause patients with no recorded utilization to be insufficiently prioritized, creating false reassurance and missed high-risk encounters.</t>
  </si>
  <si>
    <t>Zero-utilization profile demonstrated 0% sensitivity</t>
  </si>
  <si>
    <t>Clinical Owner</t>
  </si>
  <si>
    <t>Runtime safety warning; mandatory human oversight; negative flag ≠ absence of risk; production use not authorized</t>
  </si>
  <si>
    <t>Retain safety warning; explicitly evaluate zero/low-utilization populations during external validation and future model revisions.</t>
  </si>
  <si>
    <t>Model Owner / Clinical Safety Lead</t>
  </si>
  <si>
    <t>Escalated</t>
  </si>
  <si>
    <t>Robustness Assessment — Zero-Utilization Analysis</t>
  </si>
  <si>
    <t>DR-RISK-003</t>
  </si>
  <si>
    <t>Dependence on prior healthcare utilization may cause predictions to reflect healthcare-access patterns rather than sufficiently generalizable clinical risk.</t>
  </si>
  <si>
    <t>Material utilization dependence identified</t>
  </si>
  <si>
    <t>Dependence analysis; documented residual risk; human oversight; utilization surveillance designed</t>
  </si>
  <si>
    <t>Monitor utilization dependence; test populations with different utilization patterns; investigate alternative predictors in future versions.</t>
  </si>
  <si>
    <t>Robustness Assessment; Explainability Evidence</t>
  </si>
  <si>
    <t>DR-RISK-004</t>
  </si>
  <si>
    <t>Explainability</t>
  </si>
  <si>
    <t>Utilization-dominated SHAP explanations may be misinterpreted as clinically causal or as sufficiently representing underlying clinical risk.</t>
  </si>
  <si>
    <t>Utilization attribution 68.52% validation; 77.27% locked test</t>
  </si>
  <si>
    <t>“Model contribution—not clinical causality” labeling; human interpretation; attribution monitoring designed</t>
  </si>
  <si>
    <t>Maintain explanation disclaimer; monitor attribution stability; provide appropriate user guidance before clinical implementation.</t>
  </si>
  <si>
    <t>Model Validation Lead</t>
  </si>
  <si>
    <t>D12 Explainability Assessment</t>
  </si>
  <si>
    <t>DR-RISK-005</t>
  </si>
  <si>
    <t>Bias &amp; Fairness</t>
  </si>
  <si>
    <t>Variation in performance across evaluated subgroups may expose some patient groups to materially different error rates or model utility.</t>
  </si>
  <si>
    <t>Subgroup heterogeneity documented</t>
  </si>
  <si>
    <t>Model Owner / Responsible AI Owner</t>
  </si>
  <si>
    <t>Subgroup assessment; heterogeneity disclosed; subgroup monitoring designed; human oversight</t>
  </si>
  <si>
    <t>Continue subgroup evaluation and investigate material disparities; require subgroup assessment during external/prospective validation.</t>
  </si>
  <si>
    <t>Subgroup / Fairness Assessment</t>
  </si>
  <si>
    <t>DR-RISK-006</t>
  </si>
  <si>
    <t>Performance variation across admission contexts may reduce reliability in particular clinical presentation or admission pathways.</t>
  </si>
  <si>
    <t>Admission-context heterogeneity documented</t>
  </si>
  <si>
    <t>Context-specific assessment; residual risk documented; context surveillance designed</t>
  </si>
  <si>
    <t>Monitor performance by admission context; investigate material variation and restrict use where adequate performance is not demonstrated.</t>
  </si>
  <si>
    <t>Admission-Context Validation Evidence</t>
  </si>
  <si>
    <t>DR-RISK-007</t>
  </si>
  <si>
    <t>Generalizability / Transportability</t>
  </si>
  <si>
    <t>Evidence from the same underlying source environment may not generalize to other institutions, populations, health systems, geographies or contemporary practice.</t>
  </si>
  <si>
    <t>Independent external validation absent</t>
  </si>
  <si>
    <t>External validation status disclosed; no transportability claims; production use not authorized</t>
  </si>
  <si>
    <t>Perform independent external validation of the frozen model before broader-use or transportability claims.</t>
  </si>
  <si>
    <t>External Validation Lead</t>
  </si>
  <si>
    <t>Open</t>
  </si>
  <si>
    <t>Validation Report — External Validation Status</t>
  </si>
  <si>
    <t>DR-RISK-008</t>
  </si>
  <si>
    <t>Clinical Effectiveness</t>
  </si>
  <si>
    <t>Without prospective clinical-effectiveness evidence, implementation may fail to improve or could adversely affect workflow, resource utilization or patient outcomes.</t>
  </si>
  <si>
    <t>Clinical effectiveness not established</t>
  </si>
  <si>
    <t>No effectiveness claims; production use not authorized; evidence limitation explicitly disclosed</t>
  </si>
  <si>
    <t>Avoid</t>
  </si>
  <si>
    <t>Do not authorize routine clinical use or make effectiveness claims until appropriate prospective evaluation is completed.</t>
  </si>
  <si>
    <t>Clinical Evaluation Lead</t>
  </si>
  <si>
    <t>Validation Report; Model Card</t>
  </si>
  <si>
    <t>DR-RISK-009</t>
  </si>
  <si>
    <t>Human Oversight</t>
  </si>
  <si>
    <t>Excessive user confidence in model probabilities or advisories may inappropriately influence clinical judgment.</t>
  </si>
  <si>
    <t>Deployment</t>
  </si>
  <si>
    <t>Foreseeable automation-bias risk</t>
  </si>
  <si>
    <t>Mandatory human oversight; advisory separated from decision; safety messaging; production use not authorized</t>
  </si>
  <si>
    <t>Preserve human review; prohibit autonomous decisions; implement training and override mechanisms; monitor overrides if prospectively deployed.</t>
  </si>
  <si>
    <t>Clinical Implementation Lead</t>
  </si>
  <si>
    <t>Model Card; Clinical AI Model Validation Policy</t>
  </si>
  <si>
    <t>DR-RISK-010</t>
  </si>
  <si>
    <t>Workflow &amp; Adoption</t>
  </si>
  <si>
    <t>An alert rate of approximately 31.65% may create excessive review workload or alert fatigue and reduce attention to meaningful signals.</t>
  </si>
  <si>
    <t>Locked-test alert rate 31.65%</t>
  </si>
  <si>
    <t>Clinical / Product Owner</t>
  </si>
  <si>
    <t>Alert burden quantified; threshold frozen; alert-rate/workflow monitoring designed</t>
  </si>
  <si>
    <t>Evaluate workflow burden prospectively; monitor alert rate and adoption before clinical implementation.</t>
  </si>
  <si>
    <t>Workflow Implementation Lead</t>
  </si>
  <si>
    <t>D14 Locked-Test Operating-Point Evidence</t>
  </si>
  <si>
    <t>DR-RISK-011</t>
  </si>
  <si>
    <t>Data Quality</t>
  </si>
  <si>
    <t>Missing, incomplete or inaccurate required inputs may produce unreliable predictions or prevent safe inference.</t>
  </si>
  <si>
    <t>Dependence on defined source inputs</t>
  </si>
  <si>
    <t>Data Owner</t>
  </si>
  <si>
    <t>Input validation; governed feature contract; completeness and missingness monitoring</t>
  </si>
  <si>
    <t>Enforce required-input validation and safely reject/handle inference when required data are unavailable or invalid.</t>
  </si>
  <si>
    <t>Data / ML Engineering Lead</t>
  </si>
  <si>
    <t>D15 Required-Input Completeness &amp; Missingness Controls</t>
  </si>
  <si>
    <t>DR-RISK-012</t>
  </si>
  <si>
    <t>Schema changes, invalid categories or incompatible representations may cause incorrect transformation, inference failure or unreliable output.</t>
  </si>
  <si>
    <t>Frozen schema/preprocessing dependency</t>
  </si>
  <si>
    <t>Schema validation; frozen preprocessing; conformance and unknown-category surveillance</t>
  </si>
  <si>
    <t>Enforce schema/category validation and block inference when compatibility cannot be assured.</t>
  </si>
  <si>
    <t>D7 Preprocessing Contract; D15 Schema Controls</t>
  </si>
  <si>
    <t>DR-RISK-013</t>
  </si>
  <si>
    <t>Model Integrity</t>
  </si>
  <si>
    <t>Incorrect or mismatched model, preprocessor, feature contract or threshold artifacts may generate outputs inconsistent with the validated system.</t>
  </si>
  <si>
    <t>Frozen artifact dependency</t>
  </si>
  <si>
    <t>Model versioning; artifact manifest; SHA verification; threshold lock</t>
  </si>
  <si>
    <t>Verify approved artifact identities, versions, feature contract and threshold before any authorized release.</t>
  </si>
  <si>
    <t>ML Engineering / MLOps Lead</t>
  </si>
  <si>
    <t>D14 Model Manifest; Artifact SHA; Frozen Threshold Evidence</t>
  </si>
  <si>
    <t>DR-RISK-014</t>
  </si>
  <si>
    <t>Data &amp; Model Drift</t>
  </si>
  <si>
    <t>Changes in patient characteristics, utilization patterns or healthcare practices may cause the inference population to diverge from the validated population.</t>
  </si>
  <si>
    <t>Prospective population/data distribution change</t>
  </si>
  <si>
    <t>Input-distribution, missingness and unknown-category surveillance designed</t>
  </si>
  <si>
    <t>Monitor population/input distributions and trigger investigation or revalidation following material shift.</t>
  </si>
  <si>
    <t>Monitoring Lead</t>
  </si>
  <si>
    <t>D15 Input-Distribution Monitoring Design</t>
  </si>
  <si>
    <t>DR-RISK-015</t>
  </si>
  <si>
    <t>Model discrimination, calibration or threshold-level performance may deteriorate after implementation or population change.</t>
  </si>
  <si>
    <t>Prospective performance deterioration</t>
  </si>
  <si>
    <t>Discrimination, calibration and operating-point surveillance; historical references; escalation triggers</t>
  </si>
  <si>
    <t>Monitor performance against approved references; investigate deterioration and restrict use where required.</t>
  </si>
  <si>
    <t>D15 Discrimination, Calibration &amp; Operating-Point Controls</t>
  </si>
  <si>
    <t>DR-RISK-016</t>
  </si>
  <si>
    <t>Monitoring &amp; Incident Management</t>
  </si>
  <si>
    <t>Failure to detect, investigate or escalate deteriorating model behavior may allow unsafe or degraded performance to persist.</t>
  </si>
  <si>
    <t>Dependence on effective post-implementation surveillance</t>
  </si>
  <si>
    <t>AI Governance Owner</t>
  </si>
  <si>
    <t>17-control monitoring design; CRITICAL/ALERT/WATCH escalation framework; incident surveillance</t>
  </si>
  <si>
    <t>Operationalize monitoring ownership, escalation and incident procedures before production authorization and periodically test them.</t>
  </si>
  <si>
    <t>Monitoring / Governance Lead</t>
  </si>
  <si>
    <t>D15 Monitoring &amp; Escalation Framework</t>
  </si>
  <si>
    <t>DR-RISK-017</t>
  </si>
  <si>
    <t>Compliance &amp; Governance</t>
  </si>
  <si>
    <t>The publicly accessible research prototype could be mistaken for or used as an authorized production clinical system before required approvals.</t>
  </si>
  <si>
    <t>Public Streamlit research prototype; production authorization absent</t>
  </si>
  <si>
    <t>Research/Validation labeling; Production Not Authorized status; human-oversight messaging</t>
  </si>
  <si>
    <t>Maintain explicit authorization boundaries and prohibit production clinical integration until required evidence and governance approvals exist.</t>
  </si>
  <si>
    <t>System / Product Owner</t>
  </si>
  <si>
    <t>Model Card; Validation Report; ReadmitAI Deployment Status</t>
  </si>
  <si>
    <t>DR-RISK-018</t>
  </si>
  <si>
    <t>Privacy &amp; Security</t>
  </si>
  <si>
    <t>Future patient-level processing without adequate access, storage, transmission, logging or integration safeguards may expose protected information or permit unauthorized use.</t>
  </si>
  <si>
    <t>Prospective clinical implementation risk</t>
  </si>
  <si>
    <t>Information Governance / Security Owner</t>
  </si>
  <si>
    <t>Current prototype not authorized for production patient-data processing</t>
  </si>
  <si>
    <t>Prohibit production patient-data processing until privacy/security assessment and required technical controls are completed.</t>
  </si>
  <si>
    <t>Security / Privacy Lead</t>
  </si>
  <si>
    <t>Model Card Deployment Boundary; Future Privacy/Security Assessment</t>
  </si>
  <si>
    <t>REGISTER SUMMARY</t>
  </si>
  <si>
    <t>Count</t>
  </si>
  <si>
    <t>Total Risks</t>
  </si>
  <si>
    <t>Residual High</t>
  </si>
  <si>
    <t>Residual Moderate</t>
  </si>
  <si>
    <t>Residual Low</t>
  </si>
  <si>
    <t>Residual Critical</t>
  </si>
  <si>
    <t>ANIHG 5×5 AI RISK MATRIX</t>
  </si>
  <si>
    <t>Likelihood Score</t>
  </si>
  <si>
    <t>Definition</t>
  </si>
  <si>
    <t>Impact Score</t>
  </si>
  <si>
    <t>Rare</t>
  </si>
  <si>
    <t>Insignificant</t>
  </si>
  <si>
    <t>Unlikely</t>
  </si>
  <si>
    <t>Minor</t>
  </si>
  <si>
    <t>Possible</t>
  </si>
  <si>
    <t>Moderate</t>
  </si>
  <si>
    <t>Likely</t>
  </si>
  <si>
    <t>Major</t>
  </si>
  <si>
    <t>Almost Certain</t>
  </si>
  <si>
    <t>Severe / Critical</t>
  </si>
  <si>
    <t>5×5 Matrix</t>
  </si>
  <si>
    <t>Impact</t>
  </si>
  <si>
    <t>Likelihood ↓</t>
  </si>
  <si>
    <t>Score Range</t>
  </si>
  <si>
    <t>Rating</t>
  </si>
  <si>
    <t>Required Response</t>
  </si>
  <si>
    <t>Governance Meaning</t>
  </si>
  <si>
    <t>1–4</t>
  </si>
  <si>
    <t>Low</t>
  </si>
  <si>
    <t>Record and monitor</t>
  </si>
  <si>
    <t>Routine oversight</t>
  </si>
  <si>
    <t>5–9</t>
  </si>
  <si>
    <t>Assign treatment and periodic review</t>
  </si>
  <si>
    <t>Managed residual risk</t>
  </si>
  <si>
    <t>10–16</t>
  </si>
  <si>
    <t>High</t>
  </si>
  <si>
    <t>Formal mitigation and governance review</t>
  </si>
  <si>
    <t>Progress subject to controls/conditions</t>
  </si>
  <si>
    <t>17–25</t>
  </si>
  <si>
    <t>Critical</t>
  </si>
  <si>
    <t>Stop, restrict or prevent progression pending formal decision</t>
  </si>
  <si>
    <t>Immediate governance attention</t>
  </si>
  <si>
    <t>Impact assessment should consider patient safety, clinical decision impact, rights/fairness, privacy, regulatory/governance, operational and reputational consequences. Use the highest credible material impact rather than averaging severe consequences downward.</t>
  </si>
  <si>
    <t>ANIHG AI RISK LIBRARY</t>
  </si>
  <si>
    <t>Reusable reference catalogue. Active system risks belong in 01_AI_Risk_Register; reference-only entries should not be treated as findings without system-specific evidence.</t>
  </si>
  <si>
    <t>Library ID</t>
  </si>
  <si>
    <t>Risk Theme</t>
  </si>
  <si>
    <t>Generic Risk Description</t>
  </si>
  <si>
    <t>Typical Lifecycle Stage</t>
  </si>
  <si>
    <t>Potential Evidence / Trigger</t>
  </si>
  <si>
    <t>Applicability to AI-SYS-001</t>
  </si>
  <si>
    <t>LIB-001</t>
  </si>
  <si>
    <t>DR-RISK-001 — Model Performance</t>
  </si>
  <si>
    <t>LIB-002</t>
  </si>
  <si>
    <t>DR-RISK-002 — Clinical Safety</t>
  </si>
  <si>
    <t>LIB-003</t>
  </si>
  <si>
    <t>DR-RISK-003 — Model Performance</t>
  </si>
  <si>
    <t>LIB-004</t>
  </si>
  <si>
    <t>DR-RISK-004 — Explainability</t>
  </si>
  <si>
    <t>LIB-005</t>
  </si>
  <si>
    <t>DR-RISK-005 — Bias &amp; Fairness</t>
  </si>
  <si>
    <t>LIB-006</t>
  </si>
  <si>
    <t>DR-RISK-006 — Model Performance</t>
  </si>
  <si>
    <t>LIB-007</t>
  </si>
  <si>
    <t>DR-RISK-007 — Generalizability / Transportability</t>
  </si>
  <si>
    <t>LIB-008</t>
  </si>
  <si>
    <t>DR-RISK-008 — Clinical Effectiveness</t>
  </si>
  <si>
    <t>LIB-009</t>
  </si>
  <si>
    <t>DR-RISK-009 — Human Oversight</t>
  </si>
  <si>
    <t>LIB-010</t>
  </si>
  <si>
    <t>DR-RISK-010 — Workflow &amp; Adoption</t>
  </si>
  <si>
    <t>LIB-011</t>
  </si>
  <si>
    <t>DR-RISK-011 — Data Quality</t>
  </si>
  <si>
    <t>LIB-012</t>
  </si>
  <si>
    <t>DR-RISK-012 — Data Quality</t>
  </si>
  <si>
    <t>LIB-013</t>
  </si>
  <si>
    <t>DR-RISK-013 — Model Integrity</t>
  </si>
  <si>
    <t>LIB-014</t>
  </si>
  <si>
    <t>DR-RISK-014 — Data &amp; Model Drift</t>
  </si>
  <si>
    <t>LIB-015</t>
  </si>
  <si>
    <t>DR-RISK-015 — Data &amp; Model Drift</t>
  </si>
  <si>
    <t>LIB-016</t>
  </si>
  <si>
    <t>DR-RISK-016 — Monitoring &amp; Incident Management</t>
  </si>
  <si>
    <t>LIB-017</t>
  </si>
  <si>
    <t>DR-RISK-017 — Compliance &amp; Governance</t>
  </si>
  <si>
    <t>LIB-018</t>
  </si>
  <si>
    <t>DR-RISK-018 — Privacy &amp; Security</t>
  </si>
  <si>
    <t>LIB-019</t>
  </si>
  <si>
    <t>Third-Party / Technology</t>
  </si>
  <si>
    <t>Third-party dependency</t>
  </si>
  <si>
    <t>Third-party AI, platform, library or infrastructure dependency may introduce availability, security, compliance or change-management risk.</t>
  </si>
  <si>
    <t>Vendor/dependency assessment</t>
  </si>
  <si>
    <t>Reference only</t>
  </si>
  <si>
    <t>LIB-020</t>
  </si>
  <si>
    <t>Shadow AI</t>
  </si>
  <si>
    <t>AI systems or tools may be used outside approved governance, inventory or authorization processes.</t>
  </si>
  <si>
    <t>Discovery of unregistered AI use</t>
  </si>
  <si>
    <t>LIB-021</t>
  </si>
  <si>
    <t>Intellectual Property</t>
  </si>
  <si>
    <t>IP / licensing</t>
  </si>
  <si>
    <t>Training data, model assets, software dependencies or generated outputs may create intellectual-property or licensing exposure.</t>
  </si>
  <si>
    <t>Development</t>
  </si>
  <si>
    <t>License/IP review</t>
  </si>
  <si>
    <t>LIB-022</t>
  </si>
  <si>
    <t>Data leakage</t>
  </si>
  <si>
    <t>Sensitive information may be exposed through model inputs, outputs, logs, integrations or unauthorized access.</t>
  </si>
  <si>
    <t>Privacy/security assessment or incident</t>
  </si>
  <si>
    <t>LIB-023</t>
  </si>
  <si>
    <t>Vendor change</t>
  </si>
  <si>
    <t>Uncontrolled third-party changes may alter system behavior, availability or compliance posture.</t>
  </si>
  <si>
    <t>Vendor release/change notification</t>
  </si>
  <si>
    <t>LIB-024</t>
  </si>
  <si>
    <t>Skills / training</t>
  </si>
  <si>
    <t>Insufficient user training may lead to misuse, misinterpretation or inappropriate reliance on AI outputs.</t>
  </si>
  <si>
    <t>Training assessment / user feedback</t>
  </si>
  <si>
    <t>ANIHG RISK REGISTER — GUIDANCE &amp; CONTROLLED LISTS</t>
  </si>
  <si>
    <t>Field / List</t>
  </si>
  <si>
    <t>Controlled Values / Guidance</t>
  </si>
  <si>
    <t>Transfer</t>
  </si>
  <si>
    <t>Accept</t>
  </si>
  <si>
    <t>Treatment in Progress</t>
  </si>
  <si>
    <t>Accepted</t>
  </si>
  <si>
    <t>Closed</t>
  </si>
  <si>
    <t>Planning</t>
  </si>
  <si>
    <t>Data</t>
  </si>
  <si>
    <t>Retirement</t>
  </si>
  <si>
    <t>Likelihood</t>
  </si>
  <si>
    <t>1 Rare</t>
  </si>
  <si>
    <t>2 Unlikely</t>
  </si>
  <si>
    <t>3 Possible</t>
  </si>
  <si>
    <t>4 Likely</t>
  </si>
  <si>
    <t>5 Almost Certain</t>
  </si>
  <si>
    <t>1 Insignificant</t>
  </si>
  <si>
    <t>2 Minor</t>
  </si>
  <si>
    <t>3 Moderate</t>
  </si>
  <si>
    <t>4 Major</t>
  </si>
  <si>
    <t>5 Severe / Critical</t>
  </si>
  <si>
    <t>Risk Statement Standard</t>
  </si>
  <si>
    <t>Because of [CAUSE], there is a risk that [EVENT], resulting in [IMPACT].</t>
  </si>
  <si>
    <t>Record only controls that currently exist. Planned actions must not reduce the current residual risk score.</t>
  </si>
  <si>
    <t>Residual Risk</t>
  </si>
  <si>
    <t>Assess remaining risk after existing controls, not after planned future controls.</t>
  </si>
  <si>
    <t>Target / Review Dates</t>
  </si>
  <si>
    <t>Use genuine dates when a formal schedule exists. Leave blank/TBC until then; do not invent dates.</t>
  </si>
  <si>
    <t>Evidence</t>
  </si>
  <si>
    <t>Reference the Model Card, Validation Report, D-stage evidence, monitoring artifact, policy or other traceable evidence.</t>
  </si>
  <si>
    <t>Purpose</t>
  </si>
  <si>
    <t>Potential patient harm or unsafe clinical decision support</t>
  </si>
  <si>
    <t>Discrimination, calibration or operating-point performance</t>
  </si>
  <si>
    <t>Completeness, validity, schema or input quality</t>
  </si>
  <si>
    <t>Population, input or performance change over time</t>
  </si>
  <si>
    <t>Differential performance or impact across groups</t>
  </si>
  <si>
    <t>Interpretability, attribution stability or explanation misuse</t>
  </si>
  <si>
    <t>Automation bias, override, supervision or accountability</t>
  </si>
  <si>
    <t>Confidentiality, integrity, access or misuse</t>
  </si>
  <si>
    <t>Version, artifact, preprocessing or threshold integrity</t>
  </si>
  <si>
    <t>Performance outside validated environment</t>
  </si>
  <si>
    <t>Real-world clinical/process outcome effectiveness</t>
  </si>
  <si>
    <t>Alert burden, usability, integration or adoption</t>
  </si>
  <si>
    <t>Detection, escalation, incident response</t>
  </si>
  <si>
    <t>Authorization, policy, accountability or regulatory governance</t>
  </si>
  <si>
    <t>Vendor, platform, dependency or infrastructure risk</t>
  </si>
  <si>
    <t>ANIHG ENTERPRISE AI RISK REGISTER FOR DIABETES READMISSION CLINICAL AI(READMITAI)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</si>
</sst>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i/>
      <sz val="11"/>
      <color rgb="FF17365D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2F3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</cellXfs>
  <cellStyles count="1">
    <cellStyle name="Normal" xfId="0" builtinId="0"/>
  </cellStyles>
  <dxfs count="12">
    <dxf>
      <font>
        <b/>
        <color rgb="FFFFFFFF"/>
      </font>
      <fill>
        <patternFill patternType="solid">
          <bgColor rgb="FFC00000"/>
        </patternFill>
      </fill>
    </dxf>
    <dxf>
      <fill>
        <patternFill patternType="solid">
          <bgColor rgb="FFF4B183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A9D18E"/>
        </patternFill>
      </fill>
    </dxf>
    <dxf>
      <fill>
        <patternFill patternType="solid">
          <bgColor rgb="FFA9D18E"/>
        </patternFill>
      </fill>
    </dxf>
    <dxf>
      <fill>
        <patternFill patternType="solid">
          <bgColor rgb="FFFFD966"/>
        </patternFill>
      </fill>
    </dxf>
    <dxf>
      <font>
        <b/>
      </font>
      <fill>
        <patternFill patternType="solid">
          <bgColor rgb="FFF4B183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ill>
        <patternFill patternType="solid">
          <bgColor rgb="FFA9D18E"/>
        </patternFill>
      </fill>
    </dxf>
    <dxf>
      <fill>
        <patternFill patternType="solid">
          <bgColor rgb="FFFFD966"/>
        </patternFill>
      </fill>
    </dxf>
    <dxf>
      <font>
        <b/>
      </font>
      <fill>
        <patternFill patternType="solid">
          <bgColor rgb="FFF4B183"/>
        </patternFill>
      </fill>
    </dxf>
    <dxf>
      <font>
        <b/>
        <color rgb="FFFFFFFF"/>
      </font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IRiskRegisterTable" displayName="AIRiskRegisterTable" ref="A7:W25" totalsRowShown="0">
  <tableColumns count="23">
    <tableColumn id="1" xr3:uid="{00000000-0010-0000-0000-000001000000}" name="Risk ID"/>
    <tableColumn id="2" xr3:uid="{00000000-0010-0000-0000-000002000000}" name="Risk Category"/>
    <tableColumn id="3" xr3:uid="{00000000-0010-0000-0000-000003000000}" name="Risk Statement"/>
    <tableColumn id="4" xr3:uid="{00000000-0010-0000-0000-000004000000}" name="AI System / Use Case"/>
    <tableColumn id="5" xr3:uid="{00000000-0010-0000-0000-000005000000}" name="Lifecycle Stage"/>
    <tableColumn id="6" xr3:uid="{00000000-0010-0000-0000-000006000000}" name="Risk Source / Trigger"/>
    <tableColumn id="7" xr3:uid="{00000000-0010-0000-0000-000007000000}" name="Risk Owner"/>
    <tableColumn id="8" xr3:uid="{00000000-0010-0000-0000-000008000000}" name="Inherent Likelihood"/>
    <tableColumn id="9" xr3:uid="{00000000-0010-0000-0000-000009000000}" name="Inherent Impact"/>
    <tableColumn id="10" xr3:uid="{00000000-0010-0000-0000-00000A000000}" name="Inherent Risk Score"/>
    <tableColumn id="11" xr3:uid="{00000000-0010-0000-0000-00000B000000}" name="Inherent Risk Rating"/>
    <tableColumn id="12" xr3:uid="{00000000-0010-0000-0000-00000C000000}" name="Existing Controls"/>
    <tableColumn id="13" xr3:uid="{00000000-0010-0000-0000-00000D000000}" name="Residual Likelihood"/>
    <tableColumn id="14" xr3:uid="{00000000-0010-0000-0000-00000E000000}" name="Residual Impact"/>
    <tableColumn id="15" xr3:uid="{00000000-0010-0000-0000-00000F000000}" name="Residual Risk Score"/>
    <tableColumn id="16" xr3:uid="{00000000-0010-0000-0000-000010000000}" name="Residual Risk Rating"/>
    <tableColumn id="17" xr3:uid="{00000000-0010-0000-0000-000011000000}" name="Treatment"/>
    <tableColumn id="18" xr3:uid="{00000000-0010-0000-0000-000012000000}" name="Treatment / Mitigation Action"/>
    <tableColumn id="19" xr3:uid="{00000000-0010-0000-0000-000013000000}" name="Action Owner"/>
    <tableColumn id="20" xr3:uid="{00000000-0010-0000-0000-000014000000}" name="Status"/>
    <tableColumn id="21" xr3:uid="{00000000-0010-0000-0000-000015000000}" name="Target Date"/>
    <tableColumn id="22" xr3:uid="{00000000-0010-0000-0000-000016000000}" name="Next Review Date"/>
    <tableColumn id="23" xr3:uid="{00000000-0010-0000-0000-000017000000}" name="Evidence / Linked Artifa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IRiskLibraryTable" displayName="AIRiskLibraryTable" ref="A4:G28" totalsRowShown="0">
  <tableColumns count="7">
    <tableColumn id="1" xr3:uid="{00000000-0010-0000-0100-000001000000}" name="Library ID"/>
    <tableColumn id="2" xr3:uid="{00000000-0010-0000-0100-000002000000}" name="Risk Category"/>
    <tableColumn id="3" xr3:uid="{00000000-0010-0000-0100-000003000000}" name="Risk Theme"/>
    <tableColumn id="4" xr3:uid="{00000000-0010-0000-0100-000004000000}" name="Generic Risk Description"/>
    <tableColumn id="5" xr3:uid="{00000000-0010-0000-0100-000005000000}" name="Typical Lifecycle Stage"/>
    <tableColumn id="6" xr3:uid="{00000000-0010-0000-0100-000006000000}" name="Potential Evidence / Trigger"/>
    <tableColumn id="7" xr3:uid="{00000000-0010-0000-0100-000007000000}" name="Applicability to AI-SYS-00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opLeftCell="A16" workbookViewId="0">
      <selection sqref="A1:W1"/>
    </sheetView>
  </sheetViews>
  <sheetFormatPr defaultRowHeight="13.8"/>
  <cols>
    <col min="1" max="1" width="14" customWidth="1"/>
    <col min="2" max="2" width="24" customWidth="1"/>
    <col min="3" max="3" width="42" customWidth="1"/>
    <col min="4" max="4" width="16" customWidth="1"/>
    <col min="5" max="5" width="14" customWidth="1"/>
    <col min="6" max="6" width="30" customWidth="1"/>
    <col min="7" max="7" width="24" customWidth="1"/>
    <col min="8" max="9" width="12" customWidth="1"/>
    <col min="10" max="10" width="13" customWidth="1"/>
    <col min="11" max="11" width="14" customWidth="1"/>
    <col min="12" max="12" width="40" customWidth="1"/>
    <col min="13" max="14" width="12" customWidth="1"/>
    <col min="15" max="15" width="13" customWidth="1"/>
    <col min="16" max="16" width="14" customWidth="1"/>
    <col min="17" max="17" width="12" customWidth="1"/>
    <col min="18" max="18" width="42" customWidth="1"/>
    <col min="19" max="19" width="28" customWidth="1"/>
    <col min="20" max="20" width="16" customWidth="1"/>
    <col min="21" max="21" width="13" customWidth="1"/>
    <col min="22" max="22" width="16" customWidth="1"/>
    <col min="23" max="23" width="38" customWidth="1"/>
  </cols>
  <sheetData>
    <row r="1" spans="1:23" ht="22.35" customHeight="1">
      <c r="A1" s="8" t="s">
        <v>348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7.55" customHeight="1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4" spans="1:23" ht="41.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23" ht="27.6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</row>
    <row r="7" spans="1:23" ht="31.95" customHeight="1">
      <c r="A7" s="5" t="s">
        <v>13</v>
      </c>
      <c r="B7" s="5" t="s">
        <v>14</v>
      </c>
      <c r="C7" s="5" t="s">
        <v>15</v>
      </c>
      <c r="D7" s="5" t="s">
        <v>16</v>
      </c>
      <c r="E7" s="5" t="s">
        <v>5</v>
      </c>
      <c r="F7" s="5" t="s">
        <v>17</v>
      </c>
      <c r="G7" s="5" t="s">
        <v>18</v>
      </c>
      <c r="H7" s="5" t="s">
        <v>19</v>
      </c>
      <c r="I7" s="5" t="s">
        <v>20</v>
      </c>
      <c r="J7" s="5" t="s">
        <v>21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</row>
    <row r="8" spans="1:23" ht="54.45" customHeight="1">
      <c r="A8" s="6" t="s">
        <v>35</v>
      </c>
      <c r="B8" s="6" t="s">
        <v>36</v>
      </c>
      <c r="C8" s="6" t="s">
        <v>37</v>
      </c>
      <c r="D8" s="6" t="s">
        <v>38</v>
      </c>
      <c r="E8" s="6" t="s">
        <v>39</v>
      </c>
      <c r="F8" s="6" t="s">
        <v>40</v>
      </c>
      <c r="G8" s="6" t="s">
        <v>41</v>
      </c>
      <c r="H8" s="6">
        <v>4</v>
      </c>
      <c r="I8" s="6">
        <v>4</v>
      </c>
      <c r="J8" s="6">
        <f t="shared" ref="J8:J25" si="0">H8*I8</f>
        <v>16</v>
      </c>
      <c r="K8" s="6" t="str">
        <f t="shared" ref="K8:K25" si="1">IF(J8&lt;=4,"Low",IF(J8&lt;=9,"Moderate",IF(J8&lt;=16,"High","Critical")))</f>
        <v>High</v>
      </c>
      <c r="L8" s="6" t="s">
        <v>42</v>
      </c>
      <c r="M8" s="6">
        <v>3</v>
      </c>
      <c r="N8" s="6">
        <v>4</v>
      </c>
      <c r="O8" s="6">
        <f t="shared" ref="O8:O25" si="2">M8*N8</f>
        <v>12</v>
      </c>
      <c r="P8" s="6" t="str">
        <f t="shared" ref="P8:P25" si="3">IF(O8&lt;=4,"Low",IF(O8&lt;=9,"Moderate",IF(O8&lt;=16,"High","Critical")))</f>
        <v>High</v>
      </c>
      <c r="Q8" s="6" t="s">
        <v>43</v>
      </c>
      <c r="R8" s="6" t="s">
        <v>44</v>
      </c>
      <c r="S8" s="6" t="s">
        <v>45</v>
      </c>
      <c r="T8" s="6" t="s">
        <v>46</v>
      </c>
      <c r="U8" s="6"/>
      <c r="V8" s="6"/>
      <c r="W8" s="6" t="s">
        <v>47</v>
      </c>
    </row>
    <row r="9" spans="1:23" ht="54.45" customHeight="1">
      <c r="A9" s="6" t="s">
        <v>48</v>
      </c>
      <c r="B9" s="6" t="s">
        <v>49</v>
      </c>
      <c r="C9" s="6" t="s">
        <v>50</v>
      </c>
      <c r="D9" s="6" t="s">
        <v>38</v>
      </c>
      <c r="E9" s="6" t="s">
        <v>39</v>
      </c>
      <c r="F9" s="6" t="s">
        <v>51</v>
      </c>
      <c r="G9" s="6" t="s">
        <v>52</v>
      </c>
      <c r="H9" s="6">
        <v>4</v>
      </c>
      <c r="I9" s="6">
        <v>5</v>
      </c>
      <c r="J9" s="6">
        <f t="shared" si="0"/>
        <v>20</v>
      </c>
      <c r="K9" s="6" t="str">
        <f t="shared" si="1"/>
        <v>Critical</v>
      </c>
      <c r="L9" s="6" t="s">
        <v>53</v>
      </c>
      <c r="M9" s="6">
        <v>3</v>
      </c>
      <c r="N9" s="6">
        <v>5</v>
      </c>
      <c r="O9" s="6">
        <f t="shared" si="2"/>
        <v>15</v>
      </c>
      <c r="P9" s="6" t="str">
        <f t="shared" si="3"/>
        <v>High</v>
      </c>
      <c r="Q9" s="6" t="s">
        <v>43</v>
      </c>
      <c r="R9" s="6" t="s">
        <v>54</v>
      </c>
      <c r="S9" s="6" t="s">
        <v>55</v>
      </c>
      <c r="T9" s="6" t="s">
        <v>56</v>
      </c>
      <c r="U9" s="6"/>
      <c r="V9" s="6"/>
      <c r="W9" s="6" t="s">
        <v>57</v>
      </c>
    </row>
    <row r="10" spans="1:23" ht="54.45" customHeight="1">
      <c r="A10" s="6" t="s">
        <v>58</v>
      </c>
      <c r="B10" s="6" t="s">
        <v>36</v>
      </c>
      <c r="C10" s="6" t="s">
        <v>59</v>
      </c>
      <c r="D10" s="6" t="s">
        <v>38</v>
      </c>
      <c r="E10" s="6" t="s">
        <v>39</v>
      </c>
      <c r="F10" s="6" t="s">
        <v>60</v>
      </c>
      <c r="G10" s="6" t="s">
        <v>41</v>
      </c>
      <c r="H10" s="6">
        <v>4</v>
      </c>
      <c r="I10" s="6">
        <v>4</v>
      </c>
      <c r="J10" s="6">
        <f t="shared" si="0"/>
        <v>16</v>
      </c>
      <c r="K10" s="6" t="str">
        <f t="shared" si="1"/>
        <v>High</v>
      </c>
      <c r="L10" s="6" t="s">
        <v>61</v>
      </c>
      <c r="M10" s="6">
        <v>3</v>
      </c>
      <c r="N10" s="6">
        <v>4</v>
      </c>
      <c r="O10" s="6">
        <f t="shared" si="2"/>
        <v>12</v>
      </c>
      <c r="P10" s="6" t="str">
        <f t="shared" si="3"/>
        <v>High</v>
      </c>
      <c r="Q10" s="6" t="s">
        <v>43</v>
      </c>
      <c r="R10" s="6" t="s">
        <v>62</v>
      </c>
      <c r="S10" s="6" t="s">
        <v>45</v>
      </c>
      <c r="T10" s="6" t="s">
        <v>46</v>
      </c>
      <c r="U10" s="6"/>
      <c r="V10" s="6"/>
      <c r="W10" s="6" t="s">
        <v>63</v>
      </c>
    </row>
    <row r="11" spans="1:23" ht="54.45" customHeight="1">
      <c r="A11" s="6" t="s">
        <v>64</v>
      </c>
      <c r="B11" s="6" t="s">
        <v>65</v>
      </c>
      <c r="C11" s="6" t="s">
        <v>66</v>
      </c>
      <c r="D11" s="6" t="s">
        <v>38</v>
      </c>
      <c r="E11" s="6" t="s">
        <v>39</v>
      </c>
      <c r="F11" s="6" t="s">
        <v>67</v>
      </c>
      <c r="G11" s="6" t="s">
        <v>41</v>
      </c>
      <c r="H11" s="6">
        <v>4</v>
      </c>
      <c r="I11" s="6">
        <v>3</v>
      </c>
      <c r="J11" s="6">
        <f t="shared" si="0"/>
        <v>12</v>
      </c>
      <c r="K11" s="6" t="str">
        <f t="shared" si="1"/>
        <v>High</v>
      </c>
      <c r="L11" s="6" t="s">
        <v>68</v>
      </c>
      <c r="M11" s="6">
        <v>2</v>
      </c>
      <c r="N11" s="6">
        <v>3</v>
      </c>
      <c r="O11" s="6">
        <f t="shared" si="2"/>
        <v>6</v>
      </c>
      <c r="P11" s="6" t="str">
        <f t="shared" si="3"/>
        <v>Moderate</v>
      </c>
      <c r="Q11" s="6" t="s">
        <v>43</v>
      </c>
      <c r="R11" s="6" t="s">
        <v>69</v>
      </c>
      <c r="S11" s="6" t="s">
        <v>70</v>
      </c>
      <c r="T11" s="6" t="s">
        <v>46</v>
      </c>
      <c r="U11" s="6"/>
      <c r="V11" s="6"/>
      <c r="W11" s="6" t="s">
        <v>71</v>
      </c>
    </row>
    <row r="12" spans="1:23" ht="54.45" customHeight="1">
      <c r="A12" s="6" t="s">
        <v>72</v>
      </c>
      <c r="B12" s="6" t="s">
        <v>73</v>
      </c>
      <c r="C12" s="6" t="s">
        <v>74</v>
      </c>
      <c r="D12" s="6" t="s">
        <v>38</v>
      </c>
      <c r="E12" s="6" t="s">
        <v>39</v>
      </c>
      <c r="F12" s="6" t="s">
        <v>75</v>
      </c>
      <c r="G12" s="6" t="s">
        <v>76</v>
      </c>
      <c r="H12" s="6">
        <v>4</v>
      </c>
      <c r="I12" s="6">
        <v>4</v>
      </c>
      <c r="J12" s="6">
        <f t="shared" si="0"/>
        <v>16</v>
      </c>
      <c r="K12" s="6" t="str">
        <f t="shared" si="1"/>
        <v>High</v>
      </c>
      <c r="L12" s="6" t="s">
        <v>77</v>
      </c>
      <c r="M12" s="6">
        <v>3</v>
      </c>
      <c r="N12" s="6">
        <v>4</v>
      </c>
      <c r="O12" s="6">
        <f t="shared" si="2"/>
        <v>12</v>
      </c>
      <c r="P12" s="6" t="str">
        <f t="shared" si="3"/>
        <v>High</v>
      </c>
      <c r="Q12" s="6" t="s">
        <v>43</v>
      </c>
      <c r="R12" s="6" t="s">
        <v>78</v>
      </c>
      <c r="S12" s="6" t="s">
        <v>70</v>
      </c>
      <c r="T12" s="6" t="s">
        <v>46</v>
      </c>
      <c r="U12" s="6"/>
      <c r="V12" s="6"/>
      <c r="W12" s="6" t="s">
        <v>79</v>
      </c>
    </row>
    <row r="13" spans="1:23" ht="54.45" customHeight="1">
      <c r="A13" s="6" t="s">
        <v>80</v>
      </c>
      <c r="B13" s="6" t="s">
        <v>36</v>
      </c>
      <c r="C13" s="6" t="s">
        <v>81</v>
      </c>
      <c r="D13" s="6" t="s">
        <v>38</v>
      </c>
      <c r="E13" s="6" t="s">
        <v>39</v>
      </c>
      <c r="F13" s="6" t="s">
        <v>82</v>
      </c>
      <c r="G13" s="6" t="s">
        <v>41</v>
      </c>
      <c r="H13" s="6">
        <v>4</v>
      </c>
      <c r="I13" s="6">
        <v>4</v>
      </c>
      <c r="J13" s="6">
        <f t="shared" si="0"/>
        <v>16</v>
      </c>
      <c r="K13" s="6" t="str">
        <f t="shared" si="1"/>
        <v>High</v>
      </c>
      <c r="L13" s="6" t="s">
        <v>83</v>
      </c>
      <c r="M13" s="6">
        <v>3</v>
      </c>
      <c r="N13" s="6">
        <v>4</v>
      </c>
      <c r="O13" s="6">
        <f t="shared" si="2"/>
        <v>12</v>
      </c>
      <c r="P13" s="6" t="str">
        <f t="shared" si="3"/>
        <v>High</v>
      </c>
      <c r="Q13" s="6" t="s">
        <v>43</v>
      </c>
      <c r="R13" s="6" t="s">
        <v>84</v>
      </c>
      <c r="S13" s="6" t="s">
        <v>45</v>
      </c>
      <c r="T13" s="6" t="s">
        <v>46</v>
      </c>
      <c r="U13" s="6"/>
      <c r="V13" s="6"/>
      <c r="W13" s="6" t="s">
        <v>85</v>
      </c>
    </row>
    <row r="14" spans="1:23" ht="54.45" customHeight="1">
      <c r="A14" s="6" t="s">
        <v>86</v>
      </c>
      <c r="B14" s="6" t="s">
        <v>87</v>
      </c>
      <c r="C14" s="6" t="s">
        <v>88</v>
      </c>
      <c r="D14" s="6" t="s">
        <v>38</v>
      </c>
      <c r="E14" s="6" t="s">
        <v>39</v>
      </c>
      <c r="F14" s="6" t="s">
        <v>89</v>
      </c>
      <c r="G14" s="6" t="s">
        <v>41</v>
      </c>
      <c r="H14" s="6">
        <v>4</v>
      </c>
      <c r="I14" s="6">
        <v>5</v>
      </c>
      <c r="J14" s="6">
        <f t="shared" si="0"/>
        <v>20</v>
      </c>
      <c r="K14" s="6" t="str">
        <f t="shared" si="1"/>
        <v>Critical</v>
      </c>
      <c r="L14" s="6" t="s">
        <v>90</v>
      </c>
      <c r="M14" s="6">
        <v>3</v>
      </c>
      <c r="N14" s="6">
        <v>5</v>
      </c>
      <c r="O14" s="6">
        <f t="shared" si="2"/>
        <v>15</v>
      </c>
      <c r="P14" s="6" t="str">
        <f t="shared" si="3"/>
        <v>High</v>
      </c>
      <c r="Q14" s="6" t="s">
        <v>43</v>
      </c>
      <c r="R14" s="6" t="s">
        <v>91</v>
      </c>
      <c r="S14" s="6" t="s">
        <v>92</v>
      </c>
      <c r="T14" s="6" t="s">
        <v>93</v>
      </c>
      <c r="U14" s="6"/>
      <c r="V14" s="6"/>
      <c r="W14" s="6" t="s">
        <v>94</v>
      </c>
    </row>
    <row r="15" spans="1:23" ht="54.45" customHeight="1">
      <c r="A15" s="6" t="s">
        <v>95</v>
      </c>
      <c r="B15" s="6" t="s">
        <v>96</v>
      </c>
      <c r="C15" s="6" t="s">
        <v>97</v>
      </c>
      <c r="D15" s="6" t="s">
        <v>38</v>
      </c>
      <c r="E15" s="6" t="s">
        <v>39</v>
      </c>
      <c r="F15" s="6" t="s">
        <v>98</v>
      </c>
      <c r="G15" s="6" t="s">
        <v>52</v>
      </c>
      <c r="H15" s="6">
        <v>4</v>
      </c>
      <c r="I15" s="6">
        <v>5</v>
      </c>
      <c r="J15" s="6">
        <f t="shared" si="0"/>
        <v>20</v>
      </c>
      <c r="K15" s="6" t="str">
        <f t="shared" si="1"/>
        <v>Critical</v>
      </c>
      <c r="L15" s="6" t="s">
        <v>99</v>
      </c>
      <c r="M15" s="6">
        <v>2</v>
      </c>
      <c r="N15" s="6">
        <v>5</v>
      </c>
      <c r="O15" s="6">
        <f t="shared" si="2"/>
        <v>10</v>
      </c>
      <c r="P15" s="6" t="str">
        <f t="shared" si="3"/>
        <v>High</v>
      </c>
      <c r="Q15" s="6" t="s">
        <v>100</v>
      </c>
      <c r="R15" s="6" t="s">
        <v>101</v>
      </c>
      <c r="S15" s="6" t="s">
        <v>102</v>
      </c>
      <c r="T15" s="6" t="s">
        <v>93</v>
      </c>
      <c r="U15" s="6"/>
      <c r="V15" s="6"/>
      <c r="W15" s="6" t="s">
        <v>103</v>
      </c>
    </row>
    <row r="16" spans="1:23" ht="54.45" customHeight="1">
      <c r="A16" s="6" t="s">
        <v>104</v>
      </c>
      <c r="B16" s="6" t="s">
        <v>105</v>
      </c>
      <c r="C16" s="6" t="s">
        <v>106</v>
      </c>
      <c r="D16" s="6" t="s">
        <v>38</v>
      </c>
      <c r="E16" s="6" t="s">
        <v>107</v>
      </c>
      <c r="F16" s="6" t="s">
        <v>108</v>
      </c>
      <c r="G16" s="6" t="s">
        <v>52</v>
      </c>
      <c r="H16" s="6">
        <v>4</v>
      </c>
      <c r="I16" s="6">
        <v>5</v>
      </c>
      <c r="J16" s="6">
        <f t="shared" si="0"/>
        <v>20</v>
      </c>
      <c r="K16" s="6" t="str">
        <f t="shared" si="1"/>
        <v>Critical</v>
      </c>
      <c r="L16" s="6" t="s">
        <v>109</v>
      </c>
      <c r="M16" s="6">
        <v>2</v>
      </c>
      <c r="N16" s="6">
        <v>5</v>
      </c>
      <c r="O16" s="6">
        <f t="shared" si="2"/>
        <v>10</v>
      </c>
      <c r="P16" s="6" t="str">
        <f t="shared" si="3"/>
        <v>High</v>
      </c>
      <c r="Q16" s="6" t="s">
        <v>43</v>
      </c>
      <c r="R16" s="6" t="s">
        <v>110</v>
      </c>
      <c r="S16" s="6" t="s">
        <v>111</v>
      </c>
      <c r="T16" s="6" t="s">
        <v>46</v>
      </c>
      <c r="U16" s="6"/>
      <c r="V16" s="6"/>
      <c r="W16" s="6" t="s">
        <v>112</v>
      </c>
    </row>
    <row r="17" spans="1:23" ht="54.45" customHeight="1">
      <c r="A17" s="6" t="s">
        <v>113</v>
      </c>
      <c r="B17" s="6" t="s">
        <v>114</v>
      </c>
      <c r="C17" s="6" t="s">
        <v>115</v>
      </c>
      <c r="D17" s="6" t="s">
        <v>38</v>
      </c>
      <c r="E17" s="6" t="s">
        <v>107</v>
      </c>
      <c r="F17" s="6" t="s">
        <v>116</v>
      </c>
      <c r="G17" s="6" t="s">
        <v>117</v>
      </c>
      <c r="H17" s="6">
        <v>4</v>
      </c>
      <c r="I17" s="6">
        <v>3</v>
      </c>
      <c r="J17" s="6">
        <f t="shared" si="0"/>
        <v>12</v>
      </c>
      <c r="K17" s="6" t="str">
        <f t="shared" si="1"/>
        <v>High</v>
      </c>
      <c r="L17" s="6" t="s">
        <v>118</v>
      </c>
      <c r="M17" s="6">
        <v>3</v>
      </c>
      <c r="N17" s="6">
        <v>3</v>
      </c>
      <c r="O17" s="6">
        <f t="shared" si="2"/>
        <v>9</v>
      </c>
      <c r="P17" s="6" t="str">
        <f t="shared" si="3"/>
        <v>Moderate</v>
      </c>
      <c r="Q17" s="6" t="s">
        <v>43</v>
      </c>
      <c r="R17" s="6" t="s">
        <v>119</v>
      </c>
      <c r="S17" s="6" t="s">
        <v>120</v>
      </c>
      <c r="T17" s="6" t="s">
        <v>46</v>
      </c>
      <c r="U17" s="6"/>
      <c r="V17" s="6"/>
      <c r="W17" s="6" t="s">
        <v>121</v>
      </c>
    </row>
    <row r="18" spans="1:23" ht="54.45" customHeight="1">
      <c r="A18" s="6" t="s">
        <v>122</v>
      </c>
      <c r="B18" s="6" t="s">
        <v>123</v>
      </c>
      <c r="C18" s="6" t="s">
        <v>124</v>
      </c>
      <c r="D18" s="6" t="s">
        <v>38</v>
      </c>
      <c r="E18" s="6" t="s">
        <v>107</v>
      </c>
      <c r="F18" s="6" t="s">
        <v>125</v>
      </c>
      <c r="G18" s="6" t="s">
        <v>126</v>
      </c>
      <c r="H18" s="6">
        <v>4</v>
      </c>
      <c r="I18" s="6">
        <v>4</v>
      </c>
      <c r="J18" s="6">
        <f t="shared" si="0"/>
        <v>16</v>
      </c>
      <c r="K18" s="6" t="str">
        <f t="shared" si="1"/>
        <v>High</v>
      </c>
      <c r="L18" s="6" t="s">
        <v>127</v>
      </c>
      <c r="M18" s="6">
        <v>2</v>
      </c>
      <c r="N18" s="6">
        <v>4</v>
      </c>
      <c r="O18" s="6">
        <f t="shared" si="2"/>
        <v>8</v>
      </c>
      <c r="P18" s="6" t="str">
        <f t="shared" si="3"/>
        <v>Moderate</v>
      </c>
      <c r="Q18" s="6" t="s">
        <v>43</v>
      </c>
      <c r="R18" s="6" t="s">
        <v>128</v>
      </c>
      <c r="S18" s="6" t="s">
        <v>129</v>
      </c>
      <c r="T18" s="6" t="s">
        <v>46</v>
      </c>
      <c r="U18" s="6"/>
      <c r="V18" s="6"/>
      <c r="W18" s="6" t="s">
        <v>130</v>
      </c>
    </row>
    <row r="19" spans="1:23" ht="54.45" customHeight="1">
      <c r="A19" s="6" t="s">
        <v>131</v>
      </c>
      <c r="B19" s="6" t="s">
        <v>123</v>
      </c>
      <c r="C19" s="6" t="s">
        <v>132</v>
      </c>
      <c r="D19" s="6" t="s">
        <v>38</v>
      </c>
      <c r="E19" s="6" t="s">
        <v>107</v>
      </c>
      <c r="F19" s="6" t="s">
        <v>133</v>
      </c>
      <c r="G19" s="6" t="s">
        <v>126</v>
      </c>
      <c r="H19" s="6">
        <v>3</v>
      </c>
      <c r="I19" s="6">
        <v>4</v>
      </c>
      <c r="J19" s="6">
        <f t="shared" si="0"/>
        <v>12</v>
      </c>
      <c r="K19" s="6" t="str">
        <f t="shared" si="1"/>
        <v>High</v>
      </c>
      <c r="L19" s="6" t="s">
        <v>134</v>
      </c>
      <c r="M19" s="6">
        <v>1</v>
      </c>
      <c r="N19" s="6">
        <v>4</v>
      </c>
      <c r="O19" s="6">
        <f t="shared" si="2"/>
        <v>4</v>
      </c>
      <c r="P19" s="6" t="str">
        <f t="shared" si="3"/>
        <v>Low</v>
      </c>
      <c r="Q19" s="6" t="s">
        <v>43</v>
      </c>
      <c r="R19" s="6" t="s">
        <v>135</v>
      </c>
      <c r="S19" s="6" t="s">
        <v>129</v>
      </c>
      <c r="T19" s="6" t="s">
        <v>46</v>
      </c>
      <c r="U19" s="6"/>
      <c r="V19" s="6"/>
      <c r="W19" s="6" t="s">
        <v>136</v>
      </c>
    </row>
    <row r="20" spans="1:23" ht="54.45" customHeight="1">
      <c r="A20" s="6" t="s">
        <v>137</v>
      </c>
      <c r="B20" s="6" t="s">
        <v>138</v>
      </c>
      <c r="C20" s="6" t="s">
        <v>139</v>
      </c>
      <c r="D20" s="6" t="s">
        <v>38</v>
      </c>
      <c r="E20" s="6" t="s">
        <v>107</v>
      </c>
      <c r="F20" s="6" t="s">
        <v>140</v>
      </c>
      <c r="G20" s="6" t="s">
        <v>41</v>
      </c>
      <c r="H20" s="6">
        <v>3</v>
      </c>
      <c r="I20" s="6">
        <v>5</v>
      </c>
      <c r="J20" s="6">
        <f t="shared" si="0"/>
        <v>15</v>
      </c>
      <c r="K20" s="6" t="str">
        <f t="shared" si="1"/>
        <v>High</v>
      </c>
      <c r="L20" s="6" t="s">
        <v>141</v>
      </c>
      <c r="M20" s="6">
        <v>1</v>
      </c>
      <c r="N20" s="6">
        <v>5</v>
      </c>
      <c r="O20" s="6">
        <f t="shared" si="2"/>
        <v>5</v>
      </c>
      <c r="P20" s="6" t="str">
        <f t="shared" si="3"/>
        <v>Moderate</v>
      </c>
      <c r="Q20" s="6" t="s">
        <v>100</v>
      </c>
      <c r="R20" s="6" t="s">
        <v>142</v>
      </c>
      <c r="S20" s="6" t="s">
        <v>143</v>
      </c>
      <c r="T20" s="6" t="s">
        <v>46</v>
      </c>
      <c r="U20" s="6"/>
      <c r="V20" s="6"/>
      <c r="W20" s="6" t="s">
        <v>144</v>
      </c>
    </row>
    <row r="21" spans="1:23" ht="54.45" customHeight="1">
      <c r="A21" s="6" t="s">
        <v>145</v>
      </c>
      <c r="B21" s="6" t="s">
        <v>146</v>
      </c>
      <c r="C21" s="6" t="s">
        <v>147</v>
      </c>
      <c r="D21" s="6" t="s">
        <v>38</v>
      </c>
      <c r="E21" s="6" t="s">
        <v>46</v>
      </c>
      <c r="F21" s="6" t="s">
        <v>148</v>
      </c>
      <c r="G21" s="6" t="s">
        <v>41</v>
      </c>
      <c r="H21" s="6">
        <v>4</v>
      </c>
      <c r="I21" s="6">
        <v>4</v>
      </c>
      <c r="J21" s="6">
        <f t="shared" si="0"/>
        <v>16</v>
      </c>
      <c r="K21" s="6" t="str">
        <f t="shared" si="1"/>
        <v>High</v>
      </c>
      <c r="L21" s="6" t="s">
        <v>149</v>
      </c>
      <c r="M21" s="6">
        <v>3</v>
      </c>
      <c r="N21" s="6">
        <v>4</v>
      </c>
      <c r="O21" s="6">
        <f t="shared" si="2"/>
        <v>12</v>
      </c>
      <c r="P21" s="6" t="str">
        <f t="shared" si="3"/>
        <v>High</v>
      </c>
      <c r="Q21" s="6" t="s">
        <v>43</v>
      </c>
      <c r="R21" s="6" t="s">
        <v>150</v>
      </c>
      <c r="S21" s="6" t="s">
        <v>151</v>
      </c>
      <c r="T21" s="6" t="s">
        <v>46</v>
      </c>
      <c r="U21" s="6"/>
      <c r="V21" s="6"/>
      <c r="W21" s="6" t="s">
        <v>152</v>
      </c>
    </row>
    <row r="22" spans="1:23" ht="54.45" customHeight="1">
      <c r="A22" s="6" t="s">
        <v>153</v>
      </c>
      <c r="B22" s="6" t="s">
        <v>146</v>
      </c>
      <c r="C22" s="6" t="s">
        <v>154</v>
      </c>
      <c r="D22" s="6" t="s">
        <v>38</v>
      </c>
      <c r="E22" s="6" t="s">
        <v>46</v>
      </c>
      <c r="F22" s="6" t="s">
        <v>155</v>
      </c>
      <c r="G22" s="6" t="s">
        <v>41</v>
      </c>
      <c r="H22" s="6">
        <v>4</v>
      </c>
      <c r="I22" s="6">
        <v>4</v>
      </c>
      <c r="J22" s="6">
        <f t="shared" si="0"/>
        <v>16</v>
      </c>
      <c r="K22" s="6" t="str">
        <f t="shared" si="1"/>
        <v>High</v>
      </c>
      <c r="L22" s="6" t="s">
        <v>156</v>
      </c>
      <c r="M22" s="6">
        <v>2</v>
      </c>
      <c r="N22" s="6">
        <v>4</v>
      </c>
      <c r="O22" s="6">
        <f t="shared" si="2"/>
        <v>8</v>
      </c>
      <c r="P22" s="6" t="str">
        <f t="shared" si="3"/>
        <v>Moderate</v>
      </c>
      <c r="Q22" s="6" t="s">
        <v>43</v>
      </c>
      <c r="R22" s="6" t="s">
        <v>157</v>
      </c>
      <c r="S22" s="6" t="s">
        <v>151</v>
      </c>
      <c r="T22" s="6" t="s">
        <v>46</v>
      </c>
      <c r="U22" s="6"/>
      <c r="V22" s="6"/>
      <c r="W22" s="6" t="s">
        <v>158</v>
      </c>
    </row>
    <row r="23" spans="1:23" ht="54.45" customHeight="1">
      <c r="A23" s="6" t="s">
        <v>159</v>
      </c>
      <c r="B23" s="6" t="s">
        <v>160</v>
      </c>
      <c r="C23" s="6" t="s">
        <v>161</v>
      </c>
      <c r="D23" s="6" t="s">
        <v>38</v>
      </c>
      <c r="E23" s="6" t="s">
        <v>46</v>
      </c>
      <c r="F23" s="6" t="s">
        <v>162</v>
      </c>
      <c r="G23" s="6" t="s">
        <v>163</v>
      </c>
      <c r="H23" s="6">
        <v>3</v>
      </c>
      <c r="I23" s="6">
        <v>5</v>
      </c>
      <c r="J23" s="6">
        <f t="shared" si="0"/>
        <v>15</v>
      </c>
      <c r="K23" s="6" t="str">
        <f t="shared" si="1"/>
        <v>High</v>
      </c>
      <c r="L23" s="6" t="s">
        <v>164</v>
      </c>
      <c r="M23" s="6">
        <v>2</v>
      </c>
      <c r="N23" s="6">
        <v>5</v>
      </c>
      <c r="O23" s="6">
        <f t="shared" si="2"/>
        <v>10</v>
      </c>
      <c r="P23" s="6" t="str">
        <f t="shared" si="3"/>
        <v>High</v>
      </c>
      <c r="Q23" s="6" t="s">
        <v>43</v>
      </c>
      <c r="R23" s="6" t="s">
        <v>165</v>
      </c>
      <c r="S23" s="6" t="s">
        <v>166</v>
      </c>
      <c r="T23" s="6" t="s">
        <v>46</v>
      </c>
      <c r="U23" s="6"/>
      <c r="V23" s="6"/>
      <c r="W23" s="6" t="s">
        <v>167</v>
      </c>
    </row>
    <row r="24" spans="1:23" ht="54.45" customHeight="1">
      <c r="A24" s="6" t="s">
        <v>168</v>
      </c>
      <c r="B24" s="6" t="s">
        <v>169</v>
      </c>
      <c r="C24" s="6" t="s">
        <v>170</v>
      </c>
      <c r="D24" s="6" t="s">
        <v>38</v>
      </c>
      <c r="E24" s="6" t="s">
        <v>107</v>
      </c>
      <c r="F24" s="6" t="s">
        <v>171</v>
      </c>
      <c r="G24" s="6" t="s">
        <v>163</v>
      </c>
      <c r="H24" s="6">
        <v>3</v>
      </c>
      <c r="I24" s="6">
        <v>5</v>
      </c>
      <c r="J24" s="6">
        <f t="shared" si="0"/>
        <v>15</v>
      </c>
      <c r="K24" s="6" t="str">
        <f t="shared" si="1"/>
        <v>High</v>
      </c>
      <c r="L24" s="6" t="s">
        <v>172</v>
      </c>
      <c r="M24" s="6">
        <v>1</v>
      </c>
      <c r="N24" s="6">
        <v>5</v>
      </c>
      <c r="O24" s="6">
        <f t="shared" si="2"/>
        <v>5</v>
      </c>
      <c r="P24" s="6" t="str">
        <f t="shared" si="3"/>
        <v>Moderate</v>
      </c>
      <c r="Q24" s="6" t="s">
        <v>100</v>
      </c>
      <c r="R24" s="6" t="s">
        <v>173</v>
      </c>
      <c r="S24" s="6" t="s">
        <v>174</v>
      </c>
      <c r="T24" s="6" t="s">
        <v>46</v>
      </c>
      <c r="U24" s="6"/>
      <c r="V24" s="6"/>
      <c r="W24" s="6" t="s">
        <v>175</v>
      </c>
    </row>
    <row r="25" spans="1:23" ht="54.45" customHeight="1">
      <c r="A25" s="6" t="s">
        <v>176</v>
      </c>
      <c r="B25" s="6" t="s">
        <v>177</v>
      </c>
      <c r="C25" s="6" t="s">
        <v>178</v>
      </c>
      <c r="D25" s="6" t="s">
        <v>38</v>
      </c>
      <c r="E25" s="6" t="s">
        <v>107</v>
      </c>
      <c r="F25" s="6" t="s">
        <v>179</v>
      </c>
      <c r="G25" s="6" t="s">
        <v>180</v>
      </c>
      <c r="H25" s="6">
        <v>3</v>
      </c>
      <c r="I25" s="6">
        <v>5</v>
      </c>
      <c r="J25" s="6">
        <f t="shared" si="0"/>
        <v>15</v>
      </c>
      <c r="K25" s="6" t="str">
        <f t="shared" si="1"/>
        <v>High</v>
      </c>
      <c r="L25" s="6" t="s">
        <v>181</v>
      </c>
      <c r="M25" s="6">
        <v>1</v>
      </c>
      <c r="N25" s="6">
        <v>5</v>
      </c>
      <c r="O25" s="6">
        <f t="shared" si="2"/>
        <v>5</v>
      </c>
      <c r="P25" s="6" t="str">
        <f t="shared" si="3"/>
        <v>Moderate</v>
      </c>
      <c r="Q25" s="6" t="s">
        <v>100</v>
      </c>
      <c r="R25" s="6" t="s">
        <v>182</v>
      </c>
      <c r="S25" s="6" t="s">
        <v>183</v>
      </c>
      <c r="T25" s="6" t="s">
        <v>93</v>
      </c>
      <c r="U25" s="6"/>
      <c r="V25" s="6"/>
      <c r="W25" s="6" t="s">
        <v>184</v>
      </c>
    </row>
    <row r="28" spans="1:23">
      <c r="A28" s="3" t="s">
        <v>185</v>
      </c>
      <c r="B28" s="3" t="s">
        <v>186</v>
      </c>
      <c r="C28" s="3"/>
      <c r="D28" s="3"/>
    </row>
    <row r="29" spans="1:23">
      <c r="A29" t="s">
        <v>187</v>
      </c>
      <c r="B29">
        <v>18</v>
      </c>
    </row>
    <row r="30" spans="1:23">
      <c r="A30" t="s">
        <v>188</v>
      </c>
      <c r="B30">
        <v>8</v>
      </c>
    </row>
    <row r="31" spans="1:23">
      <c r="A31" t="s">
        <v>189</v>
      </c>
      <c r="B31">
        <v>9</v>
      </c>
    </row>
    <row r="32" spans="1:23">
      <c r="A32" t="s">
        <v>190</v>
      </c>
      <c r="B32">
        <v>1</v>
      </c>
    </row>
    <row r="33" spans="1:2">
      <c r="A33" t="s">
        <v>191</v>
      </c>
      <c r="B33">
        <v>0</v>
      </c>
    </row>
  </sheetData>
  <mergeCells count="2">
    <mergeCell ref="A1:W1"/>
    <mergeCell ref="A2:W2"/>
  </mergeCells>
  <conditionalFormatting sqref="K8:K200">
    <cfRule type="expression" dxfId="11" priority="1">
      <formula>K8="Critical"</formula>
    </cfRule>
    <cfRule type="expression" dxfId="10" priority="2">
      <formula>K8="High"</formula>
    </cfRule>
    <cfRule type="expression" dxfId="9" priority="3">
      <formula>K8="Moderate"</formula>
    </cfRule>
    <cfRule type="expression" dxfId="8" priority="4">
      <formula>K8="Low"</formula>
    </cfRule>
  </conditionalFormatting>
  <conditionalFormatting sqref="P8:P200">
    <cfRule type="expression" dxfId="7" priority="5">
      <formula>P8="Critical"</formula>
    </cfRule>
    <cfRule type="expression" dxfId="6" priority="6">
      <formula>P8="High"</formula>
    </cfRule>
    <cfRule type="expression" dxfId="5" priority="7">
      <formula>P8="Moderate"</formula>
    </cfRule>
    <cfRule type="expression" dxfId="4" priority="8">
      <formula>P8="Low"</formula>
    </cfRule>
  </conditionalFormatting>
  <dataValidations count="4">
    <dataValidation type="list" sqref="M8:N200 H8:I200" xr:uid="{00000000-0002-0000-0000-000000000000}">
      <formula1>"1,2,3,4,5"</formula1>
    </dataValidation>
    <dataValidation type="list" sqref="Q8:Q200" xr:uid="{00000000-0002-0000-0000-000004000000}">
      <formula1>"Mitigate,Avoid,Transfer,Accept"</formula1>
    </dataValidation>
    <dataValidation type="list" sqref="T8:T200" xr:uid="{00000000-0002-0000-0000-000005000000}">
      <formula1>"Open,Treatment in Progress,Monitoring,Escalated,Accepted,Closed"</formula1>
    </dataValidation>
    <dataValidation type="list" sqref="E8:E200" xr:uid="{00000000-0002-0000-0000-000006000000}">
      <formula1>"Planning,Data,Development,Validation,Deployment,Monitoring,Retirement"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tabSelected="1" zoomScale="114" zoomScaleNormal="114" workbookViewId="0">
      <selection sqref="A1:H1"/>
    </sheetView>
  </sheetViews>
  <sheetFormatPr defaultRowHeight="13.8"/>
  <cols>
    <col min="1" max="2" width="18" customWidth="1"/>
    <col min="3" max="3" width="34" customWidth="1"/>
    <col min="4" max="4" width="38" customWidth="1"/>
    <col min="5" max="5" width="20" customWidth="1"/>
    <col min="6" max="6" width="14" customWidth="1"/>
    <col min="7" max="8" width="18" customWidth="1"/>
  </cols>
  <sheetData>
    <row r="1" spans="1:8">
      <c r="A1" s="10" t="s">
        <v>192</v>
      </c>
      <c r="B1" s="10"/>
      <c r="C1" s="10"/>
      <c r="D1" s="10"/>
      <c r="E1" s="10"/>
      <c r="F1" s="10"/>
      <c r="G1" s="10"/>
      <c r="H1" s="10"/>
    </row>
    <row r="3" spans="1:8">
      <c r="A3" s="7" t="s">
        <v>193</v>
      </c>
      <c r="B3" s="7" t="s">
        <v>194</v>
      </c>
      <c r="C3" s="1"/>
      <c r="D3" s="7" t="s">
        <v>195</v>
      </c>
      <c r="E3" s="7" t="s">
        <v>194</v>
      </c>
      <c r="F3" s="1"/>
      <c r="G3" s="1"/>
      <c r="H3" s="1"/>
    </row>
    <row r="4" spans="1:8">
      <c r="A4" s="1">
        <v>1</v>
      </c>
      <c r="B4" s="1" t="s">
        <v>196</v>
      </c>
      <c r="C4" s="1"/>
      <c r="D4" s="1">
        <v>1</v>
      </c>
      <c r="E4" s="1" t="s">
        <v>197</v>
      </c>
      <c r="F4" s="1"/>
      <c r="G4" s="1"/>
      <c r="H4" s="1"/>
    </row>
    <row r="5" spans="1:8">
      <c r="A5" s="1">
        <v>2</v>
      </c>
      <c r="B5" s="1" t="s">
        <v>198</v>
      </c>
      <c r="C5" s="1"/>
      <c r="D5" s="1">
        <v>2</v>
      </c>
      <c r="E5" s="1" t="s">
        <v>199</v>
      </c>
      <c r="F5" s="1"/>
      <c r="G5" s="1"/>
      <c r="H5" s="1"/>
    </row>
    <row r="6" spans="1:8">
      <c r="A6" s="1">
        <v>3</v>
      </c>
      <c r="B6" s="1" t="s">
        <v>200</v>
      </c>
      <c r="C6" s="1"/>
      <c r="D6" s="1">
        <v>3</v>
      </c>
      <c r="E6" s="1" t="s">
        <v>201</v>
      </c>
      <c r="F6" s="1"/>
      <c r="G6" s="1"/>
      <c r="H6" s="1"/>
    </row>
    <row r="7" spans="1:8">
      <c r="A7" s="1">
        <v>4</v>
      </c>
      <c r="B7" s="1" t="s">
        <v>202</v>
      </c>
      <c r="C7" s="1"/>
      <c r="D7" s="1">
        <v>4</v>
      </c>
      <c r="E7" s="1" t="s">
        <v>203</v>
      </c>
      <c r="F7" s="1"/>
      <c r="G7" s="1"/>
      <c r="H7" s="1"/>
    </row>
    <row r="8" spans="1:8">
      <c r="A8" s="1">
        <v>5</v>
      </c>
      <c r="B8" s="1" t="s">
        <v>204</v>
      </c>
      <c r="C8" s="1"/>
      <c r="D8" s="1">
        <v>5</v>
      </c>
      <c r="E8" s="1" t="s">
        <v>205</v>
      </c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5" t="s">
        <v>206</v>
      </c>
      <c r="B11" s="5" t="s">
        <v>207</v>
      </c>
      <c r="C11" s="5"/>
      <c r="D11" s="5"/>
      <c r="E11" s="5"/>
      <c r="F11" s="5"/>
      <c r="G11" s="5"/>
      <c r="H11" s="1"/>
    </row>
    <row r="12" spans="1:8">
      <c r="A12" s="1" t="s">
        <v>208</v>
      </c>
      <c r="B12" s="1">
        <v>1</v>
      </c>
      <c r="C12" s="1">
        <v>2</v>
      </c>
      <c r="D12" s="1">
        <v>3</v>
      </c>
      <c r="E12" s="1">
        <v>4</v>
      </c>
      <c r="F12" s="1">
        <v>5</v>
      </c>
      <c r="G12" s="1"/>
      <c r="H12" s="1"/>
    </row>
    <row r="13" spans="1:8">
      <c r="A13" s="1">
        <v>5</v>
      </c>
      <c r="B13" s="1">
        <v>5</v>
      </c>
      <c r="C13" s="1">
        <v>10</v>
      </c>
      <c r="D13" s="1">
        <v>15</v>
      </c>
      <c r="E13" s="1">
        <v>20</v>
      </c>
      <c r="F13" s="1">
        <v>25</v>
      </c>
      <c r="G13" s="1" t="s">
        <v>204</v>
      </c>
      <c r="H13" s="1"/>
    </row>
    <row r="14" spans="1:8">
      <c r="A14" s="1">
        <v>4</v>
      </c>
      <c r="B14" s="1">
        <v>4</v>
      </c>
      <c r="C14" s="1">
        <v>8</v>
      </c>
      <c r="D14" s="1">
        <v>12</v>
      </c>
      <c r="E14" s="1">
        <v>16</v>
      </c>
      <c r="F14" s="1">
        <v>20</v>
      </c>
      <c r="G14" s="1" t="s">
        <v>202</v>
      </c>
      <c r="H14" s="1"/>
    </row>
    <row r="15" spans="1:8">
      <c r="A15" s="1">
        <v>3</v>
      </c>
      <c r="B15" s="1">
        <v>3</v>
      </c>
      <c r="C15" s="1">
        <v>6</v>
      </c>
      <c r="D15" s="1">
        <v>9</v>
      </c>
      <c r="E15" s="1">
        <v>12</v>
      </c>
      <c r="F15" s="1">
        <v>15</v>
      </c>
      <c r="G15" s="1" t="s">
        <v>200</v>
      </c>
      <c r="H15" s="1"/>
    </row>
    <row r="16" spans="1:8">
      <c r="A16" s="1">
        <v>2</v>
      </c>
      <c r="B16" s="1">
        <v>2</v>
      </c>
      <c r="C16" s="1">
        <v>4</v>
      </c>
      <c r="D16" s="1">
        <v>6</v>
      </c>
      <c r="E16" s="1">
        <v>8</v>
      </c>
      <c r="F16" s="1">
        <v>10</v>
      </c>
      <c r="G16" s="1" t="s">
        <v>198</v>
      </c>
      <c r="H16" s="1"/>
    </row>
    <row r="17" spans="1:8">
      <c r="A17" s="1">
        <v>1</v>
      </c>
      <c r="B17" s="1">
        <v>1</v>
      </c>
      <c r="C17" s="1">
        <v>2</v>
      </c>
      <c r="D17" s="1">
        <v>3</v>
      </c>
      <c r="E17" s="1">
        <v>4</v>
      </c>
      <c r="F17" s="1">
        <v>5</v>
      </c>
      <c r="G17" s="1" t="s">
        <v>196</v>
      </c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5" t="s">
        <v>209</v>
      </c>
      <c r="B20" s="5" t="s">
        <v>210</v>
      </c>
      <c r="C20" s="5" t="s">
        <v>211</v>
      </c>
      <c r="D20" s="5" t="s">
        <v>212</v>
      </c>
      <c r="E20" s="1"/>
      <c r="F20" s="1"/>
      <c r="G20" s="1"/>
      <c r="H20" s="1"/>
    </row>
    <row r="21" spans="1:8">
      <c r="A21" s="1" t="s">
        <v>213</v>
      </c>
      <c r="B21" s="1" t="s">
        <v>214</v>
      </c>
      <c r="C21" s="1" t="s">
        <v>215</v>
      </c>
      <c r="D21" s="1" t="s">
        <v>216</v>
      </c>
      <c r="E21" s="1"/>
      <c r="F21" s="1"/>
      <c r="G21" s="1"/>
      <c r="H21" s="1"/>
    </row>
    <row r="22" spans="1:8">
      <c r="A22" s="1" t="s">
        <v>217</v>
      </c>
      <c r="B22" s="1" t="s">
        <v>201</v>
      </c>
      <c r="C22" s="1" t="s">
        <v>218</v>
      </c>
      <c r="D22" s="1" t="s">
        <v>219</v>
      </c>
      <c r="E22" s="1"/>
      <c r="F22" s="1"/>
      <c r="G22" s="1"/>
      <c r="H22" s="1"/>
    </row>
    <row r="23" spans="1:8" ht="27.6">
      <c r="A23" s="1" t="s">
        <v>220</v>
      </c>
      <c r="B23" s="1" t="s">
        <v>221</v>
      </c>
      <c r="C23" s="1" t="s">
        <v>222</v>
      </c>
      <c r="D23" s="1" t="s">
        <v>223</v>
      </c>
      <c r="E23" s="1"/>
      <c r="F23" s="1"/>
      <c r="G23" s="1"/>
      <c r="H23" s="1"/>
    </row>
    <row r="24" spans="1:8" ht="27.6">
      <c r="A24" s="1" t="s">
        <v>224</v>
      </c>
      <c r="B24" s="1" t="s">
        <v>225</v>
      </c>
      <c r="C24" s="1" t="s">
        <v>226</v>
      </c>
      <c r="D24" s="1" t="s">
        <v>227</v>
      </c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1" t="s">
        <v>228</v>
      </c>
      <c r="B27" s="11"/>
      <c r="C27" s="11"/>
      <c r="D27" s="11"/>
      <c r="E27" s="11"/>
      <c r="F27" s="11"/>
      <c r="G27" s="11"/>
      <c r="H27" s="11"/>
    </row>
  </sheetData>
  <mergeCells count="2">
    <mergeCell ref="A1:H1"/>
    <mergeCell ref="A27:H27"/>
  </mergeCells>
  <conditionalFormatting sqref="B13:F17">
    <cfRule type="cellIs" dxfId="3" priority="1" operator="lessThanOrEqual">
      <formula>4</formula>
    </cfRule>
    <cfRule type="cellIs" dxfId="2" priority="2" operator="between">
      <formula>5</formula>
    </cfRule>
    <cfRule type="cellIs" dxfId="1" priority="3" operator="between">
      <formula>10</formula>
    </cfRule>
    <cfRule type="cellIs" dxfId="0" priority="4" operator="greaterThanOrEqual">
      <formula>17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topLeftCell="A25" workbookViewId="0">
      <selection sqref="A1:G1"/>
    </sheetView>
  </sheetViews>
  <sheetFormatPr defaultRowHeight="13.8"/>
  <cols>
    <col min="1" max="1" width="13" customWidth="1"/>
    <col min="2" max="2" width="27" customWidth="1"/>
    <col min="3" max="3" width="32" customWidth="1"/>
    <col min="4" max="4" width="52" customWidth="1"/>
    <col min="5" max="5" width="20" customWidth="1"/>
    <col min="6" max="6" width="32" customWidth="1"/>
    <col min="7" max="7" width="18" customWidth="1"/>
  </cols>
  <sheetData>
    <row r="1" spans="1:7" ht="19.2">
      <c r="A1" s="12" t="s">
        <v>229</v>
      </c>
      <c r="B1" s="12"/>
      <c r="C1" s="12"/>
      <c r="D1" s="12"/>
      <c r="E1" s="12"/>
      <c r="F1" s="12"/>
      <c r="G1" s="12"/>
    </row>
    <row r="2" spans="1:7" ht="14.4">
      <c r="A2" s="13" t="s">
        <v>230</v>
      </c>
      <c r="B2" s="13"/>
      <c r="C2" s="13"/>
      <c r="D2" s="13"/>
      <c r="E2" s="13"/>
      <c r="F2" s="13"/>
      <c r="G2" s="13"/>
    </row>
    <row r="4" spans="1:7" ht="27.6">
      <c r="A4" s="4" t="s">
        <v>231</v>
      </c>
      <c r="B4" s="4" t="s">
        <v>14</v>
      </c>
      <c r="C4" s="4" t="s">
        <v>232</v>
      </c>
      <c r="D4" s="4" t="s">
        <v>233</v>
      </c>
      <c r="E4" s="4" t="s">
        <v>234</v>
      </c>
      <c r="F4" s="4" t="s">
        <v>235</v>
      </c>
      <c r="G4" s="4" t="s">
        <v>236</v>
      </c>
    </row>
    <row r="5" spans="1:7" ht="55.2">
      <c r="A5" s="1" t="s">
        <v>237</v>
      </c>
      <c r="B5" s="1" t="s">
        <v>36</v>
      </c>
      <c r="C5" s="1" t="s">
        <v>238</v>
      </c>
      <c r="D5" s="1" t="s">
        <v>37</v>
      </c>
      <c r="E5" s="1" t="s">
        <v>39</v>
      </c>
      <c r="F5" s="1" t="s">
        <v>40</v>
      </c>
      <c r="G5" s="1" t="s">
        <v>2</v>
      </c>
    </row>
    <row r="6" spans="1:7" ht="41.4">
      <c r="A6" s="1" t="s">
        <v>239</v>
      </c>
      <c r="B6" s="1" t="s">
        <v>49</v>
      </c>
      <c r="C6" s="1" t="s">
        <v>240</v>
      </c>
      <c r="D6" s="1" t="s">
        <v>50</v>
      </c>
      <c r="E6" s="1" t="s">
        <v>39</v>
      </c>
      <c r="F6" s="1" t="s">
        <v>51</v>
      </c>
      <c r="G6" s="1" t="s">
        <v>2</v>
      </c>
    </row>
    <row r="7" spans="1:7" ht="41.4">
      <c r="A7" s="1" t="s">
        <v>241</v>
      </c>
      <c r="B7" s="1" t="s">
        <v>36</v>
      </c>
      <c r="C7" s="1" t="s">
        <v>242</v>
      </c>
      <c r="D7" s="1" t="s">
        <v>59</v>
      </c>
      <c r="E7" s="1" t="s">
        <v>39</v>
      </c>
      <c r="F7" s="1" t="s">
        <v>60</v>
      </c>
      <c r="G7" s="1" t="s">
        <v>2</v>
      </c>
    </row>
    <row r="8" spans="1:7" ht="41.4">
      <c r="A8" s="1" t="s">
        <v>243</v>
      </c>
      <c r="B8" s="1" t="s">
        <v>65</v>
      </c>
      <c r="C8" s="1" t="s">
        <v>244</v>
      </c>
      <c r="D8" s="1" t="s">
        <v>66</v>
      </c>
      <c r="E8" s="1" t="s">
        <v>39</v>
      </c>
      <c r="F8" s="1" t="s">
        <v>67</v>
      </c>
      <c r="G8" s="1" t="s">
        <v>2</v>
      </c>
    </row>
    <row r="9" spans="1:7" ht="41.4">
      <c r="A9" s="1" t="s">
        <v>245</v>
      </c>
      <c r="B9" s="1" t="s">
        <v>73</v>
      </c>
      <c r="C9" s="1" t="s">
        <v>246</v>
      </c>
      <c r="D9" s="1" t="s">
        <v>74</v>
      </c>
      <c r="E9" s="1" t="s">
        <v>39</v>
      </c>
      <c r="F9" s="1" t="s">
        <v>75</v>
      </c>
      <c r="G9" s="1" t="s">
        <v>2</v>
      </c>
    </row>
    <row r="10" spans="1:7" ht="41.4">
      <c r="A10" s="1" t="s">
        <v>247</v>
      </c>
      <c r="B10" s="1" t="s">
        <v>36</v>
      </c>
      <c r="C10" s="1" t="s">
        <v>248</v>
      </c>
      <c r="D10" s="1" t="s">
        <v>81</v>
      </c>
      <c r="E10" s="1" t="s">
        <v>39</v>
      </c>
      <c r="F10" s="1" t="s">
        <v>82</v>
      </c>
      <c r="G10" s="1" t="s">
        <v>2</v>
      </c>
    </row>
    <row r="11" spans="1:7" ht="41.4">
      <c r="A11" s="1" t="s">
        <v>249</v>
      </c>
      <c r="B11" s="1" t="s">
        <v>87</v>
      </c>
      <c r="C11" s="1" t="s">
        <v>250</v>
      </c>
      <c r="D11" s="1" t="s">
        <v>88</v>
      </c>
      <c r="E11" s="1" t="s">
        <v>39</v>
      </c>
      <c r="F11" s="1" t="s">
        <v>89</v>
      </c>
      <c r="G11" s="1" t="s">
        <v>2</v>
      </c>
    </row>
    <row r="12" spans="1:7" ht="41.4">
      <c r="A12" s="1" t="s">
        <v>251</v>
      </c>
      <c r="B12" s="1" t="s">
        <v>96</v>
      </c>
      <c r="C12" s="1" t="s">
        <v>252</v>
      </c>
      <c r="D12" s="1" t="s">
        <v>97</v>
      </c>
      <c r="E12" s="1" t="s">
        <v>39</v>
      </c>
      <c r="F12" s="1" t="s">
        <v>98</v>
      </c>
      <c r="G12" s="1" t="s">
        <v>2</v>
      </c>
    </row>
    <row r="13" spans="1:7" ht="27.6">
      <c r="A13" s="1" t="s">
        <v>253</v>
      </c>
      <c r="B13" s="1" t="s">
        <v>105</v>
      </c>
      <c r="C13" s="1" t="s">
        <v>254</v>
      </c>
      <c r="D13" s="1" t="s">
        <v>106</v>
      </c>
      <c r="E13" s="1" t="s">
        <v>107</v>
      </c>
      <c r="F13" s="1" t="s">
        <v>108</v>
      </c>
      <c r="G13" s="1" t="s">
        <v>2</v>
      </c>
    </row>
    <row r="14" spans="1:7" ht="41.4">
      <c r="A14" s="1" t="s">
        <v>255</v>
      </c>
      <c r="B14" s="1" t="s">
        <v>114</v>
      </c>
      <c r="C14" s="1" t="s">
        <v>256</v>
      </c>
      <c r="D14" s="1" t="s">
        <v>115</v>
      </c>
      <c r="E14" s="1" t="s">
        <v>107</v>
      </c>
      <c r="F14" s="1" t="s">
        <v>116</v>
      </c>
      <c r="G14" s="1" t="s">
        <v>2</v>
      </c>
    </row>
    <row r="15" spans="1:7" ht="27.6">
      <c r="A15" s="1" t="s">
        <v>257</v>
      </c>
      <c r="B15" s="1" t="s">
        <v>123</v>
      </c>
      <c r="C15" s="1" t="s">
        <v>258</v>
      </c>
      <c r="D15" s="1" t="s">
        <v>124</v>
      </c>
      <c r="E15" s="1" t="s">
        <v>107</v>
      </c>
      <c r="F15" s="1" t="s">
        <v>125</v>
      </c>
      <c r="G15" s="1" t="s">
        <v>2</v>
      </c>
    </row>
    <row r="16" spans="1:7" ht="41.4">
      <c r="A16" s="1" t="s">
        <v>259</v>
      </c>
      <c r="B16" s="1" t="s">
        <v>123</v>
      </c>
      <c r="C16" s="1" t="s">
        <v>260</v>
      </c>
      <c r="D16" s="1" t="s">
        <v>132</v>
      </c>
      <c r="E16" s="1" t="s">
        <v>107</v>
      </c>
      <c r="F16" s="1" t="s">
        <v>133</v>
      </c>
      <c r="G16" s="1" t="s">
        <v>2</v>
      </c>
    </row>
    <row r="17" spans="1:7" ht="41.4">
      <c r="A17" s="1" t="s">
        <v>261</v>
      </c>
      <c r="B17" s="1" t="s">
        <v>138</v>
      </c>
      <c r="C17" s="1" t="s">
        <v>262</v>
      </c>
      <c r="D17" s="1" t="s">
        <v>139</v>
      </c>
      <c r="E17" s="1" t="s">
        <v>107</v>
      </c>
      <c r="F17" s="1" t="s">
        <v>140</v>
      </c>
      <c r="G17" s="1" t="s">
        <v>2</v>
      </c>
    </row>
    <row r="18" spans="1:7" ht="41.4">
      <c r="A18" s="1" t="s">
        <v>263</v>
      </c>
      <c r="B18" s="1" t="s">
        <v>146</v>
      </c>
      <c r="C18" s="1" t="s">
        <v>264</v>
      </c>
      <c r="D18" s="1" t="s">
        <v>147</v>
      </c>
      <c r="E18" s="1" t="s">
        <v>46</v>
      </c>
      <c r="F18" s="1" t="s">
        <v>148</v>
      </c>
      <c r="G18" s="1" t="s">
        <v>2</v>
      </c>
    </row>
    <row r="19" spans="1:7" ht="41.4">
      <c r="A19" s="1" t="s">
        <v>265</v>
      </c>
      <c r="B19" s="1" t="s">
        <v>146</v>
      </c>
      <c r="C19" s="1" t="s">
        <v>266</v>
      </c>
      <c r="D19" s="1" t="s">
        <v>154</v>
      </c>
      <c r="E19" s="1" t="s">
        <v>46</v>
      </c>
      <c r="F19" s="1" t="s">
        <v>155</v>
      </c>
      <c r="G19" s="1" t="s">
        <v>2</v>
      </c>
    </row>
    <row r="20" spans="1:7" ht="41.4">
      <c r="A20" s="1" t="s">
        <v>267</v>
      </c>
      <c r="B20" s="1" t="s">
        <v>160</v>
      </c>
      <c r="C20" s="1" t="s">
        <v>268</v>
      </c>
      <c r="D20" s="1" t="s">
        <v>161</v>
      </c>
      <c r="E20" s="1" t="s">
        <v>46</v>
      </c>
      <c r="F20" s="1" t="s">
        <v>162</v>
      </c>
      <c r="G20" s="1" t="s">
        <v>2</v>
      </c>
    </row>
    <row r="21" spans="1:7" ht="41.4">
      <c r="A21" s="1" t="s">
        <v>269</v>
      </c>
      <c r="B21" s="1" t="s">
        <v>169</v>
      </c>
      <c r="C21" s="1" t="s">
        <v>270</v>
      </c>
      <c r="D21" s="1" t="s">
        <v>170</v>
      </c>
      <c r="E21" s="1" t="s">
        <v>107</v>
      </c>
      <c r="F21" s="1" t="s">
        <v>171</v>
      </c>
      <c r="G21" s="1" t="s">
        <v>2</v>
      </c>
    </row>
    <row r="22" spans="1:7" ht="41.4">
      <c r="A22" s="1" t="s">
        <v>271</v>
      </c>
      <c r="B22" s="1" t="s">
        <v>177</v>
      </c>
      <c r="C22" s="1" t="s">
        <v>272</v>
      </c>
      <c r="D22" s="1" t="s">
        <v>178</v>
      </c>
      <c r="E22" s="1" t="s">
        <v>107</v>
      </c>
      <c r="F22" s="1" t="s">
        <v>179</v>
      </c>
      <c r="G22" s="1" t="s">
        <v>2</v>
      </c>
    </row>
    <row r="23" spans="1:7" ht="41.4">
      <c r="A23" s="1" t="s">
        <v>273</v>
      </c>
      <c r="B23" s="1" t="s">
        <v>274</v>
      </c>
      <c r="C23" s="1" t="s">
        <v>275</v>
      </c>
      <c r="D23" s="1" t="s">
        <v>276</v>
      </c>
      <c r="E23" s="1" t="s">
        <v>107</v>
      </c>
      <c r="F23" s="1" t="s">
        <v>277</v>
      </c>
      <c r="G23" s="1" t="s">
        <v>278</v>
      </c>
    </row>
    <row r="24" spans="1:7" ht="27.6">
      <c r="A24" s="1" t="s">
        <v>279</v>
      </c>
      <c r="B24" s="1" t="s">
        <v>169</v>
      </c>
      <c r="C24" s="1" t="s">
        <v>280</v>
      </c>
      <c r="D24" s="1" t="s">
        <v>281</v>
      </c>
      <c r="E24" s="1" t="s">
        <v>107</v>
      </c>
      <c r="F24" s="1" t="s">
        <v>282</v>
      </c>
      <c r="G24" s="1" t="s">
        <v>278</v>
      </c>
    </row>
    <row r="25" spans="1:7" ht="41.4">
      <c r="A25" s="1" t="s">
        <v>283</v>
      </c>
      <c r="B25" s="1" t="s">
        <v>284</v>
      </c>
      <c r="C25" s="1" t="s">
        <v>285</v>
      </c>
      <c r="D25" s="1" t="s">
        <v>286</v>
      </c>
      <c r="E25" s="1" t="s">
        <v>287</v>
      </c>
      <c r="F25" s="1" t="s">
        <v>288</v>
      </c>
      <c r="G25" s="1" t="s">
        <v>278</v>
      </c>
    </row>
    <row r="26" spans="1:7" ht="27.6">
      <c r="A26" s="1" t="s">
        <v>289</v>
      </c>
      <c r="B26" s="1" t="s">
        <v>177</v>
      </c>
      <c r="C26" s="1" t="s">
        <v>290</v>
      </c>
      <c r="D26" s="1" t="s">
        <v>291</v>
      </c>
      <c r="E26" s="1" t="s">
        <v>107</v>
      </c>
      <c r="F26" s="1" t="s">
        <v>292</v>
      </c>
      <c r="G26" s="1" t="s">
        <v>278</v>
      </c>
    </row>
    <row r="27" spans="1:7" ht="27.6">
      <c r="A27" s="1" t="s">
        <v>293</v>
      </c>
      <c r="B27" s="1" t="s">
        <v>274</v>
      </c>
      <c r="C27" s="1" t="s">
        <v>294</v>
      </c>
      <c r="D27" s="1" t="s">
        <v>295</v>
      </c>
      <c r="E27" s="1" t="s">
        <v>46</v>
      </c>
      <c r="F27" s="1" t="s">
        <v>296</v>
      </c>
      <c r="G27" s="1" t="s">
        <v>278</v>
      </c>
    </row>
    <row r="28" spans="1:7" ht="27.6">
      <c r="A28" s="1" t="s">
        <v>297</v>
      </c>
      <c r="B28" s="1" t="s">
        <v>105</v>
      </c>
      <c r="C28" s="1" t="s">
        <v>298</v>
      </c>
      <c r="D28" s="1" t="s">
        <v>299</v>
      </c>
      <c r="E28" s="1" t="s">
        <v>107</v>
      </c>
      <c r="F28" s="1" t="s">
        <v>300</v>
      </c>
      <c r="G28" s="1" t="s">
        <v>278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topLeftCell="A10" workbookViewId="0">
      <selection sqref="A1:H1"/>
    </sheetView>
  </sheetViews>
  <sheetFormatPr defaultRowHeight="13.8"/>
  <cols>
    <col min="1" max="1" width="32" customWidth="1"/>
    <col min="2" max="2" width="44" customWidth="1"/>
    <col min="3" max="8" width="24" customWidth="1"/>
  </cols>
  <sheetData>
    <row r="1" spans="1:8" ht="19.2">
      <c r="A1" s="12" t="s">
        <v>301</v>
      </c>
      <c r="B1" s="12"/>
      <c r="C1" s="12"/>
      <c r="D1" s="12"/>
      <c r="E1" s="12"/>
      <c r="F1" s="12"/>
      <c r="G1" s="12"/>
      <c r="H1" s="12"/>
    </row>
    <row r="3" spans="1:8">
      <c r="A3" s="7" t="s">
        <v>302</v>
      </c>
      <c r="B3" s="7" t="s">
        <v>303</v>
      </c>
      <c r="C3" s="7"/>
      <c r="D3" s="7"/>
      <c r="E3" s="7"/>
      <c r="F3" s="7"/>
      <c r="G3" s="7"/>
      <c r="H3" s="7"/>
    </row>
    <row r="4" spans="1:8">
      <c r="A4" s="1" t="s">
        <v>28</v>
      </c>
      <c r="B4" s="1" t="s">
        <v>43</v>
      </c>
      <c r="C4" s="1" t="s">
        <v>100</v>
      </c>
      <c r="D4" s="1" t="s">
        <v>304</v>
      </c>
      <c r="E4" s="1" t="s">
        <v>305</v>
      </c>
      <c r="F4" s="1"/>
      <c r="G4" s="1"/>
      <c r="H4" s="1"/>
    </row>
    <row r="5" spans="1:8">
      <c r="A5" s="1" t="s">
        <v>31</v>
      </c>
      <c r="B5" s="1" t="s">
        <v>93</v>
      </c>
      <c r="C5" s="1" t="s">
        <v>306</v>
      </c>
      <c r="D5" s="1" t="s">
        <v>46</v>
      </c>
      <c r="E5" s="1" t="s">
        <v>56</v>
      </c>
      <c r="F5" s="1" t="s">
        <v>307</v>
      </c>
      <c r="G5" s="1" t="s">
        <v>308</v>
      </c>
      <c r="H5" s="1"/>
    </row>
    <row r="6" spans="1:8">
      <c r="A6" s="1" t="s">
        <v>5</v>
      </c>
      <c r="B6" s="1" t="s">
        <v>309</v>
      </c>
      <c r="C6" s="1" t="s">
        <v>310</v>
      </c>
      <c r="D6" s="1" t="s">
        <v>287</v>
      </c>
      <c r="E6" s="1" t="s">
        <v>39</v>
      </c>
      <c r="F6" s="1" t="s">
        <v>107</v>
      </c>
      <c r="G6" s="1" t="s">
        <v>46</v>
      </c>
      <c r="H6" s="1" t="s">
        <v>311</v>
      </c>
    </row>
    <row r="7" spans="1:8">
      <c r="A7" s="1" t="s">
        <v>312</v>
      </c>
      <c r="B7" s="1" t="s">
        <v>313</v>
      </c>
      <c r="C7" s="1" t="s">
        <v>314</v>
      </c>
      <c r="D7" s="1" t="s">
        <v>315</v>
      </c>
      <c r="E7" s="1" t="s">
        <v>316</v>
      </c>
      <c r="F7" s="1" t="s">
        <v>317</v>
      </c>
      <c r="G7" s="1"/>
      <c r="H7" s="1"/>
    </row>
    <row r="8" spans="1:8">
      <c r="A8" s="1" t="s">
        <v>207</v>
      </c>
      <c r="B8" s="1" t="s">
        <v>318</v>
      </c>
      <c r="C8" s="1" t="s">
        <v>319</v>
      </c>
      <c r="D8" s="1" t="s">
        <v>320</v>
      </c>
      <c r="E8" s="1" t="s">
        <v>321</v>
      </c>
      <c r="F8" s="1" t="s">
        <v>322</v>
      </c>
      <c r="G8" s="1"/>
      <c r="H8" s="1"/>
    </row>
    <row r="9" spans="1:8" ht="27.6">
      <c r="A9" s="1" t="s">
        <v>323</v>
      </c>
      <c r="B9" s="1" t="s">
        <v>324</v>
      </c>
      <c r="C9" s="1"/>
      <c r="D9" s="1"/>
      <c r="E9" s="1"/>
      <c r="F9" s="1"/>
      <c r="G9" s="1"/>
      <c r="H9" s="1"/>
    </row>
    <row r="10" spans="1:8" ht="41.4">
      <c r="A10" s="1" t="s">
        <v>23</v>
      </c>
      <c r="B10" s="1" t="s">
        <v>325</v>
      </c>
      <c r="C10" s="1"/>
      <c r="D10" s="1"/>
      <c r="E10" s="1"/>
      <c r="F10" s="1"/>
      <c r="G10" s="1"/>
      <c r="H10" s="1"/>
    </row>
    <row r="11" spans="1:8" ht="27.6">
      <c r="A11" s="1" t="s">
        <v>326</v>
      </c>
      <c r="B11" s="1" t="s">
        <v>327</v>
      </c>
      <c r="C11" s="1"/>
      <c r="D11" s="1"/>
      <c r="E11" s="1"/>
      <c r="F11" s="1"/>
      <c r="G11" s="1"/>
      <c r="H11" s="1"/>
    </row>
    <row r="12" spans="1:8" ht="27.6">
      <c r="A12" s="1" t="s">
        <v>328</v>
      </c>
      <c r="B12" s="1" t="s">
        <v>329</v>
      </c>
      <c r="C12" s="1"/>
      <c r="D12" s="1"/>
      <c r="E12" s="1"/>
      <c r="F12" s="1"/>
      <c r="G12" s="1"/>
      <c r="H12" s="1"/>
    </row>
    <row r="13" spans="1:8" ht="41.4">
      <c r="A13" s="1" t="s">
        <v>330</v>
      </c>
      <c r="B13" s="1" t="s">
        <v>331</v>
      </c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7" t="s">
        <v>14</v>
      </c>
      <c r="B15" s="7" t="s">
        <v>332</v>
      </c>
      <c r="C15" s="1"/>
      <c r="D15" s="1"/>
      <c r="E15" s="1"/>
      <c r="F15" s="1"/>
      <c r="G15" s="1"/>
      <c r="H15" s="1"/>
    </row>
    <row r="16" spans="1:8" ht="27.6">
      <c r="A16" s="1" t="s">
        <v>49</v>
      </c>
      <c r="B16" s="1" t="s">
        <v>333</v>
      </c>
      <c r="C16" s="1"/>
      <c r="D16" s="1"/>
      <c r="E16" s="1"/>
      <c r="F16" s="1"/>
      <c r="G16" s="1"/>
      <c r="H16" s="1"/>
    </row>
    <row r="17" spans="1:8" ht="27.6">
      <c r="A17" s="1" t="s">
        <v>36</v>
      </c>
      <c r="B17" s="1" t="s">
        <v>334</v>
      </c>
      <c r="C17" s="1"/>
      <c r="D17" s="1"/>
      <c r="E17" s="1"/>
      <c r="F17" s="1"/>
      <c r="G17" s="1"/>
      <c r="H17" s="1"/>
    </row>
    <row r="18" spans="1:8">
      <c r="A18" s="1" t="s">
        <v>123</v>
      </c>
      <c r="B18" s="1" t="s">
        <v>335</v>
      </c>
      <c r="C18" s="1"/>
      <c r="D18" s="1"/>
      <c r="E18" s="1"/>
      <c r="F18" s="1"/>
      <c r="G18" s="1"/>
      <c r="H18" s="1"/>
    </row>
    <row r="19" spans="1:8">
      <c r="A19" s="1" t="s">
        <v>146</v>
      </c>
      <c r="B19" s="1" t="s">
        <v>336</v>
      </c>
      <c r="C19" s="1"/>
      <c r="D19" s="1"/>
      <c r="E19" s="1"/>
      <c r="F19" s="1"/>
      <c r="G19" s="1"/>
      <c r="H19" s="1"/>
    </row>
    <row r="20" spans="1:8">
      <c r="A20" s="1" t="s">
        <v>73</v>
      </c>
      <c r="B20" s="1" t="s">
        <v>337</v>
      </c>
      <c r="C20" s="1"/>
      <c r="D20" s="1"/>
      <c r="E20" s="1"/>
      <c r="F20" s="1"/>
      <c r="G20" s="1"/>
      <c r="H20" s="1"/>
    </row>
    <row r="21" spans="1:8" ht="27.6">
      <c r="A21" s="1" t="s">
        <v>65</v>
      </c>
      <c r="B21" s="1" t="s">
        <v>338</v>
      </c>
      <c r="C21" s="1"/>
      <c r="D21" s="1"/>
      <c r="E21" s="1"/>
      <c r="F21" s="1"/>
      <c r="G21" s="1"/>
      <c r="H21" s="1"/>
    </row>
    <row r="22" spans="1:8" ht="27.6">
      <c r="A22" s="1" t="s">
        <v>105</v>
      </c>
      <c r="B22" s="1" t="s">
        <v>339</v>
      </c>
      <c r="C22" s="1"/>
      <c r="D22" s="1"/>
      <c r="E22" s="1"/>
      <c r="F22" s="1"/>
      <c r="G22" s="1"/>
      <c r="H22" s="1"/>
    </row>
    <row r="23" spans="1:8">
      <c r="A23" s="1" t="s">
        <v>177</v>
      </c>
      <c r="B23" s="1" t="s">
        <v>340</v>
      </c>
      <c r="C23" s="1"/>
      <c r="D23" s="1"/>
      <c r="E23" s="1"/>
      <c r="F23" s="1"/>
      <c r="G23" s="1"/>
      <c r="H23" s="1"/>
    </row>
    <row r="24" spans="1:8">
      <c r="A24" s="1" t="s">
        <v>138</v>
      </c>
      <c r="B24" s="1" t="s">
        <v>341</v>
      </c>
      <c r="C24" s="1"/>
      <c r="D24" s="1"/>
      <c r="E24" s="1"/>
      <c r="F24" s="1"/>
      <c r="G24" s="1"/>
      <c r="H24" s="1"/>
    </row>
    <row r="25" spans="1:8">
      <c r="A25" s="1" t="s">
        <v>87</v>
      </c>
      <c r="B25" s="1" t="s">
        <v>342</v>
      </c>
      <c r="C25" s="1"/>
      <c r="D25" s="1"/>
      <c r="E25" s="1"/>
      <c r="F25" s="1"/>
      <c r="G25" s="1"/>
      <c r="H25" s="1"/>
    </row>
    <row r="26" spans="1:8">
      <c r="A26" s="1" t="s">
        <v>96</v>
      </c>
      <c r="B26" s="1" t="s">
        <v>343</v>
      </c>
      <c r="C26" s="1"/>
      <c r="D26" s="1"/>
      <c r="E26" s="1"/>
      <c r="F26" s="1"/>
      <c r="G26" s="1"/>
      <c r="H26" s="1"/>
    </row>
    <row r="27" spans="1:8">
      <c r="A27" s="1" t="s">
        <v>114</v>
      </c>
      <c r="B27" s="1" t="s">
        <v>344</v>
      </c>
      <c r="C27" s="1"/>
      <c r="D27" s="1"/>
      <c r="E27" s="1"/>
      <c r="F27" s="1"/>
      <c r="G27" s="1"/>
      <c r="H27" s="1"/>
    </row>
    <row r="28" spans="1:8">
      <c r="A28" s="1" t="s">
        <v>160</v>
      </c>
      <c r="B28" s="1" t="s">
        <v>345</v>
      </c>
      <c r="C28" s="1"/>
      <c r="D28" s="1"/>
      <c r="E28" s="1"/>
      <c r="F28" s="1"/>
      <c r="G28" s="1"/>
      <c r="H28" s="1"/>
    </row>
    <row r="29" spans="1:8" ht="27.6">
      <c r="A29" s="1" t="s">
        <v>169</v>
      </c>
      <c r="B29" s="1" t="s">
        <v>346</v>
      </c>
      <c r="C29" s="1"/>
      <c r="D29" s="1"/>
      <c r="E29" s="1"/>
      <c r="F29" s="1"/>
      <c r="G29" s="1"/>
      <c r="H29" s="1"/>
    </row>
    <row r="30" spans="1:8">
      <c r="A30" s="1" t="s">
        <v>274</v>
      </c>
      <c r="B30" s="1" t="s">
        <v>347</v>
      </c>
      <c r="C30" s="1"/>
      <c r="D30" s="1"/>
      <c r="E30" s="1"/>
      <c r="F30" s="1"/>
      <c r="G30" s="1"/>
      <c r="H30" s="1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01_AI_Risk_Register</vt:lpstr>
      <vt:lpstr>02_Risk_Matrix</vt:lpstr>
      <vt:lpstr>03_Risk_Library</vt:lpstr>
      <vt:lpstr>04_Guidance_Lists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2026-10-10T05:12:22Z</dcterms:modified>
</cp:coreProperties>
</file>